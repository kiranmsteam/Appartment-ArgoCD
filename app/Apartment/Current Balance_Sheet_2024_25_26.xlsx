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-25 Report" sheetId="1" r:id="rId4"/>
    <sheet state="visible" name="Copy of 2024-25 Report" sheetId="2" r:id="rId5"/>
    <sheet state="visible" name="Pivot Table 1" sheetId="3" r:id="rId6"/>
    <sheet state="visible" name="April24" sheetId="4" r:id="rId7"/>
    <sheet state="visible" name="May24" sheetId="5" r:id="rId8"/>
    <sheet state="visible" name="June24" sheetId="6" r:id="rId9"/>
    <sheet state="visible" name="July24" sheetId="7" r:id="rId10"/>
    <sheet state="visible" name="Aug24" sheetId="8" r:id="rId11"/>
    <sheet state="visible" name="Sept24" sheetId="9" r:id="rId12"/>
    <sheet state="visible" name="Oct24" sheetId="10" r:id="rId13"/>
    <sheet state="visible" name="Nov24" sheetId="11" r:id="rId14"/>
    <sheet state="visible" name="Dec24" sheetId="12" r:id="rId15"/>
    <sheet state="visible" name="Jan 25" sheetId="13" r:id="rId16"/>
    <sheet state="visible" name="Feb 25" sheetId="14" r:id="rId17"/>
    <sheet state="visible" name="Mar 25" sheetId="15" r:id="rId18"/>
    <sheet state="visible" name="Apr 25" sheetId="16" r:id="rId19"/>
    <sheet state="visible" name="May 25" sheetId="17" r:id="rId20"/>
    <sheet state="visible" name="June 25" sheetId="18" r:id="rId21"/>
    <sheet state="visible" name="July 25" sheetId="19" r:id="rId22"/>
    <sheet state="visible" name="Aug 25" sheetId="20" r:id="rId23"/>
    <sheet state="visible" name="Sept 2025" sheetId="21" r:id="rId24"/>
    <sheet state="visible" name="Oct 2025" sheetId="22" r:id="rId25"/>
    <sheet state="visible" name="Nov 2025" sheetId="23" r:id="rId26"/>
    <sheet state="visible" name="Dec 2025" sheetId="24" r:id="rId27"/>
    <sheet state="visible" name="Jan 2026" sheetId="25" r:id="rId28"/>
    <sheet state="visible" name="Feb 2026" sheetId="26" r:id="rId29"/>
    <sheet state="visible" name="March 2026" sheetId="27" r:id="rId30"/>
    <sheet state="visible" name="25-26 Report" sheetId="28" r:id="rId31"/>
    <sheet state="visible" name="Pivot Table 2" sheetId="29" r:id="rId32"/>
  </sheets>
  <definedNames>
    <definedName hidden="1" localSheetId="1" name="_xlnm._FilterDatabase">'Copy of 2024-25 Report'!$A$1:$Z$123</definedName>
    <definedName hidden="1" localSheetId="2" name="_xlnm._FilterDatabase">'Pivot Table 1'!$A$1:$D$14</definedName>
    <definedName hidden="1" localSheetId="27" name="_xlnm._FilterDatabase">'25-26 Report'!$A$1:$Z$124</definedName>
  </definedNames>
  <calcPr/>
  <pivotCaches>
    <pivotCache cacheId="0" r:id="rId33"/>
  </pivotCaches>
  <extLst>
    <ext uri="GoogleSheetsCustomDataVersion2">
      <go:sheetsCustomData xmlns:go="http://customooxmlschemas.google.com/" r:id="rId34" roundtripDataChecksum="FrNjTIZSW+Dho9jmCXk6Xc9skPYvT6VXq7yewyToiP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9">
      <text>
        <t xml:space="preserve">======
ID#AAABQytFKgU
Kiran M S    (2024-07-08 04:12:35)
Signature Mismatch</t>
      </text>
    </comment>
  </commentList>
  <extLst>
    <ext uri="GoogleSheetsCustomDataVersion2">
      <go:sheetsCustomData xmlns:go="http://customooxmlschemas.google.com/" r:id="rId1" roundtripDataSignature="AMtx7mgbWrM8UmBaSk/36BPPf6cGyiUBZA=="/>
    </ext>
  </extLst>
</comments>
</file>

<file path=xl/sharedStrings.xml><?xml version="1.0" encoding="utf-8"?>
<sst xmlns="http://schemas.openxmlformats.org/spreadsheetml/2006/main" count="1760" uniqueCount="259">
  <si>
    <t>Months</t>
  </si>
  <si>
    <t>Description</t>
  </si>
  <si>
    <t>Income</t>
  </si>
  <si>
    <t>Expense</t>
  </si>
  <si>
    <t>April</t>
  </si>
  <si>
    <t>Monthly Expense Contribution</t>
  </si>
  <si>
    <t>Corupus Amount paid by Mrs.Suman Nayak (KF1)</t>
  </si>
  <si>
    <t>Payment to Security Agency</t>
  </si>
  <si>
    <t>Payment to Housekeeping (Mariswamy)</t>
  </si>
  <si>
    <t>Payment to Bescom</t>
  </si>
  <si>
    <t>Payment to BWSSB</t>
  </si>
  <si>
    <t>Towards Garbage Collection</t>
  </si>
  <si>
    <t>Additional Cash Pay to C.Reddy</t>
  </si>
  <si>
    <t>Token amount of Rs.1000 given to Security gaurds (Chandra Reddy, Shivrame gowda) &amp; Housekeeping (Mariswamy)</t>
  </si>
  <si>
    <t>AGM Expenses towardsBreakfast</t>
  </si>
  <si>
    <t>AGM Expenses towards Chairs &amp; Tables</t>
  </si>
  <si>
    <t>May</t>
  </si>
  <si>
    <t>Security Agency</t>
  </si>
  <si>
    <t>Bank Charges</t>
  </si>
  <si>
    <t>Bharath Elevattors</t>
  </si>
  <si>
    <t>Painting Work Payment</t>
  </si>
  <si>
    <t xml:space="preserve">Plumbing Work ( Srinivas) </t>
  </si>
  <si>
    <t>Diesel</t>
  </si>
  <si>
    <t>Plumber payment ( Cash )</t>
  </si>
  <si>
    <t>June</t>
  </si>
  <si>
    <t>Karthik KC</t>
  </si>
  <si>
    <t xml:space="preserve">BWSSB ( Paid through cash) </t>
  </si>
  <si>
    <t>July</t>
  </si>
  <si>
    <t>Tank Cleaning Charges</t>
  </si>
  <si>
    <t>KG Block Gym Room Door Repair</t>
  </si>
  <si>
    <t>August</t>
  </si>
  <si>
    <t>BWSSB</t>
  </si>
  <si>
    <t>Bharath Elevators ( Lift Repair)</t>
  </si>
  <si>
    <t>Cleaning Items</t>
  </si>
  <si>
    <t>September</t>
  </si>
  <si>
    <t>Bharath Elevators (KG  Lift Repair advance)</t>
  </si>
  <si>
    <t>New Seal</t>
  </si>
  <si>
    <t>Disel</t>
  </si>
  <si>
    <t>October</t>
  </si>
  <si>
    <t>Bharath Elevators (KG  Lift Repair settelement Total Expense Rs. 30680)</t>
  </si>
  <si>
    <t>Self Withdrawal</t>
  </si>
  <si>
    <t>Generator Maintenance</t>
  </si>
  <si>
    <t xml:space="preserve">AyudaPooja Expense (Includes Bonus) </t>
  </si>
  <si>
    <t>Scrap Salvage Income</t>
  </si>
  <si>
    <t>Plumbing Work (Front balcony pipes + Leakage fixing)</t>
  </si>
  <si>
    <t>November</t>
  </si>
  <si>
    <t>Bharath Elevators (Maintenace Oct 24 - Mar 25)</t>
  </si>
  <si>
    <t>Lift Door Stopper - Vishweswaria block</t>
  </si>
  <si>
    <t>December</t>
  </si>
  <si>
    <t>Pruthiv (Garden work)</t>
  </si>
  <si>
    <t>Garden work Expense</t>
  </si>
  <si>
    <t>January</t>
  </si>
  <si>
    <t>Sathayanarayana Pooje Expense</t>
  </si>
  <si>
    <t>Faulty Meter Changing</t>
  </si>
  <si>
    <t>Febuary</t>
  </si>
  <si>
    <t>To Fixed Deposit</t>
  </si>
  <si>
    <t>CC TV Repair</t>
  </si>
  <si>
    <t>Chamber Cleaning</t>
  </si>
  <si>
    <t xml:space="preserve">BWSSB Bill </t>
  </si>
  <si>
    <t>March</t>
  </si>
  <si>
    <t>SB Interest</t>
  </si>
  <si>
    <t>Month</t>
  </si>
  <si>
    <t>C.Reddy</t>
  </si>
  <si>
    <t>AGM Expenses</t>
  </si>
  <si>
    <t>BESCOM</t>
  </si>
  <si>
    <t>Bharath Elevators</t>
  </si>
  <si>
    <t>Bonus</t>
  </si>
  <si>
    <t>Generator</t>
  </si>
  <si>
    <t>Mariswamy</t>
  </si>
  <si>
    <t>Painting</t>
  </si>
  <si>
    <t>Plumbing</t>
  </si>
  <si>
    <t>Garbage Collection</t>
  </si>
  <si>
    <t>No</t>
  </si>
  <si>
    <t xml:space="preserve">SUM of  Income </t>
  </si>
  <si>
    <t xml:space="preserve">SUM of  Expense </t>
  </si>
  <si>
    <t>Grand Total</t>
  </si>
  <si>
    <t>Hitech Citadel Phase 2 Flat Owners Association</t>
  </si>
  <si>
    <t>Monthly Collection&amp;Expenditure Details - April 2024</t>
  </si>
  <si>
    <t>Date</t>
  </si>
  <si>
    <t>Details</t>
  </si>
  <si>
    <t>Amount  Collected/Balance</t>
  </si>
  <si>
    <t>Expenses Amount</t>
  </si>
  <si>
    <t>Opening Balance in Bank</t>
  </si>
  <si>
    <t>Corpus Amount</t>
  </si>
  <si>
    <t>Expense Available in Bank</t>
  </si>
  <si>
    <t>Collection</t>
  </si>
  <si>
    <t>Sub Total</t>
  </si>
  <si>
    <t>Total of A</t>
  </si>
  <si>
    <t>Expenditure Paid by Cheque</t>
  </si>
  <si>
    <t>Total of B</t>
  </si>
  <si>
    <t>Closing Balance (A-B)</t>
  </si>
  <si>
    <t>Cash Expense</t>
  </si>
  <si>
    <t>Cash Withdrawal in Apr 24</t>
  </si>
  <si>
    <t>Cash Carry Forward from Mar 24</t>
  </si>
  <si>
    <t>Total of C</t>
  </si>
  <si>
    <t xml:space="preserve">Cash in Hand </t>
  </si>
  <si>
    <t>Closing Balance</t>
  </si>
  <si>
    <t>Balance in Bank with Corpus Amount</t>
  </si>
  <si>
    <t xml:space="preserve">Treasurer </t>
  </si>
  <si>
    <r>
      <rPr>
        <rFont val="Calibri"/>
        <color theme="1"/>
        <sz val="14.0"/>
      </rPr>
      <t xml:space="preserve">Monthly Collection&amp;Expenditure Details - </t>
    </r>
    <r>
      <rPr>
        <rFont val="Calibri"/>
        <b/>
        <color theme="1"/>
        <sz val="14.0"/>
      </rPr>
      <t>May 2024</t>
    </r>
  </si>
  <si>
    <t>Cash Drawn</t>
  </si>
  <si>
    <t>Cash Withdrawal in May 24</t>
  </si>
  <si>
    <t>Monthly Collection&amp;Expenditure Details - August 2024</t>
  </si>
  <si>
    <t>Cash Withdrawal in August 24</t>
  </si>
  <si>
    <t>Monthly Maintenance Due from last 2 months</t>
  </si>
  <si>
    <t>KF-4 (Aneesh V Naik) - From April 2024</t>
  </si>
  <si>
    <t>Monthly Collection &amp; Expenditure Details - July 2024</t>
  </si>
  <si>
    <t>Cash Withdrawal in July 24</t>
  </si>
  <si>
    <t>Cash Carry Forward from August 24</t>
  </si>
  <si>
    <t>Monthly Maintenance Due from last 3 months</t>
  </si>
  <si>
    <t>Cash Withdrawal in Aug 24</t>
  </si>
  <si>
    <t>Cash Carry Forward from July 24</t>
  </si>
  <si>
    <t>Monthly Collection&amp;Expenditure Details - September 2024</t>
  </si>
  <si>
    <t>Cash Withdrawal in Sep 24</t>
  </si>
  <si>
    <t>Cash Carry Forward from Aug 24</t>
  </si>
  <si>
    <t>Monthly Collection&amp;Expenditure Details - October 2024</t>
  </si>
  <si>
    <t>7-0ct-24</t>
  </si>
  <si>
    <t>19-Otc-24</t>
  </si>
  <si>
    <t>Cash Withdrawal in Oct 24</t>
  </si>
  <si>
    <t>Cash Carry Forward from Sept 24</t>
  </si>
  <si>
    <t>Ayudha Pooja Expense</t>
  </si>
  <si>
    <t xml:space="preserve">Pooja Items </t>
  </si>
  <si>
    <t>Sweet boxes</t>
  </si>
  <si>
    <t xml:space="preserve">      Chandra Reddy</t>
  </si>
  <si>
    <t xml:space="preserve">      Ramegowda</t>
  </si>
  <si>
    <t xml:space="preserve">      Mariyann</t>
  </si>
  <si>
    <t xml:space="preserve">     Bescom Person</t>
  </si>
  <si>
    <t xml:space="preserve">     BBMP Person</t>
  </si>
  <si>
    <t>Total</t>
  </si>
  <si>
    <t>Monthly Collection&amp;Expenditure Details - November 2024</t>
  </si>
  <si>
    <t>Cash Withdrawal in Nov 24</t>
  </si>
  <si>
    <t>Cash Carry Forward from October 24</t>
  </si>
  <si>
    <t>Monthly Collection&amp;Expenditure Details - December 2024</t>
  </si>
  <si>
    <t>Cash Withdrawal in Dec 24</t>
  </si>
  <si>
    <t>Cash Carry Forward from Nov 24</t>
  </si>
  <si>
    <t>Gardening Expense</t>
  </si>
  <si>
    <t>To Prithiv (by Cheque )</t>
  </si>
  <si>
    <t>Plumbing Work for water disposal (Cash)</t>
  </si>
  <si>
    <t>Tea , Biscuits for labouror ( 4 days ) (Cash)</t>
  </si>
  <si>
    <t>Playing area items Scrap sale ( Cash )</t>
  </si>
  <si>
    <t>Hose Pipe (Cash)</t>
  </si>
  <si>
    <t>Monthly Collection&amp;Expenditure Details - January 2025</t>
  </si>
  <si>
    <t>Cash Withdrawal</t>
  </si>
  <si>
    <t>Cash Withdrawal in Jan 25</t>
  </si>
  <si>
    <t>Cash Carry Forward from Dec 24</t>
  </si>
  <si>
    <t>Sathyanarayana Pooje Expense</t>
  </si>
  <si>
    <t>Contributions</t>
  </si>
  <si>
    <t>Cook (375 * 65 )</t>
  </si>
  <si>
    <t>Porohit</t>
  </si>
  <si>
    <t>Shamyana, Table, Chair</t>
  </si>
  <si>
    <t>Tips for cook and Shamyana workers</t>
  </si>
  <si>
    <t>Reserved for Pooje (Water tanker exess )</t>
  </si>
  <si>
    <t xml:space="preserve">To be taken from Association </t>
  </si>
  <si>
    <t>Monthly Collection&amp;Expenditure Details - Febuary 2025</t>
  </si>
  <si>
    <t>Cash Withdrawal in Feb 25</t>
  </si>
  <si>
    <t>Cash Carry Forward from Jan 25</t>
  </si>
  <si>
    <t>Note: Amount of Rs.600000 depoisted in FD account
There was mistake in BWSSB bill payment through bangalore one for Feb month, Same has been corrected by immd cash payment.</t>
  </si>
  <si>
    <t>Monthly Collection&amp;Expenditure Details - March 2025</t>
  </si>
  <si>
    <t>Cash Carry Forward from Feb 25</t>
  </si>
  <si>
    <t>Monthly Collection&amp;Expenditure Details - April 2025</t>
  </si>
  <si>
    <t xml:space="preserve">Bharath Elevator </t>
  </si>
  <si>
    <t>Cash Withdrawal in Apr 25</t>
  </si>
  <si>
    <t>Cash Carry Forward from Mar 25</t>
  </si>
  <si>
    <t xml:space="preserve">Annual General Body Expense (Food + Chair / Table ) </t>
  </si>
  <si>
    <t>Monthly Collection&amp;Expenditure Details - May 2025</t>
  </si>
  <si>
    <t>Cash Withdrawal in May 25</t>
  </si>
  <si>
    <t>Cash Carry Forward from Apr 25</t>
  </si>
  <si>
    <t>Electical Fittings</t>
  </si>
  <si>
    <t>BESCOM additional deposit</t>
  </si>
  <si>
    <t>Monthly Collection&amp;Expenditure Details - June 2025</t>
  </si>
  <si>
    <t>Pesticide</t>
  </si>
  <si>
    <t xml:space="preserve">Grass Trimming </t>
  </si>
  <si>
    <t>Monthly Collection&amp;Expenditure Details - July 2025</t>
  </si>
  <si>
    <t>Cash Withdrawal in Jul 25</t>
  </si>
  <si>
    <t>Cash Carry Forward from Jun 25</t>
  </si>
  <si>
    <t>Monthly Collection&amp;Expenditure Details - August 2025</t>
  </si>
  <si>
    <t>Cash Withdrawal in Aug 25</t>
  </si>
  <si>
    <t>Cash Carry Forward from July 25</t>
  </si>
  <si>
    <t>Water Level Sensor</t>
  </si>
  <si>
    <t>Lock for Gate</t>
  </si>
  <si>
    <t>Monthly Collection&amp;Expenditure Details - September 2025</t>
  </si>
  <si>
    <t>10-Sept-25</t>
  </si>
  <si>
    <t>9-Sept-25</t>
  </si>
  <si>
    <t>17-Sept-25</t>
  </si>
  <si>
    <t>20-Sept-25</t>
  </si>
  <si>
    <t>Cash Withdrawal in Sept 25</t>
  </si>
  <si>
    <t>Cash Carry Forward from August 25</t>
  </si>
  <si>
    <t>27-Sept-25</t>
  </si>
  <si>
    <t>1-Sept-25</t>
  </si>
  <si>
    <t>30-Sept-25</t>
  </si>
  <si>
    <t>Monthly Collection&amp;Expenditure Details - October 2025</t>
  </si>
  <si>
    <t xml:space="preserve">BWSSB (Paid in Nov ) </t>
  </si>
  <si>
    <t>Cash Withdrawl</t>
  </si>
  <si>
    <t>Cash Withdrawal in Oct 25</t>
  </si>
  <si>
    <t>Cash Carry Forward from Sept 25</t>
  </si>
  <si>
    <t>Lift Door Welding</t>
  </si>
  <si>
    <t>Wheel Chair</t>
  </si>
  <si>
    <t>10 Chairs</t>
  </si>
  <si>
    <t xml:space="preserve">Ayuda Pooja expense </t>
  </si>
  <si>
    <t xml:space="preserve">Garbage Bin (Plastic storage ) </t>
  </si>
  <si>
    <t xml:space="preserve">Pooja Expense </t>
  </si>
  <si>
    <t>Sweets</t>
  </si>
  <si>
    <t>Festive BESCOM TIP</t>
  </si>
  <si>
    <t>Festive BBMP TIP</t>
  </si>
  <si>
    <t>Festive Tips for Garbage Collector</t>
  </si>
  <si>
    <t>Flowers and Pooja Items</t>
  </si>
  <si>
    <t>Monthly Collection&amp;Expenditure Details - November 2025</t>
  </si>
  <si>
    <t>Bank Charge</t>
  </si>
  <si>
    <t xml:space="preserve">BWSSB (Oct Month) </t>
  </si>
  <si>
    <t>Cash Withdrawal in Nov 25</t>
  </si>
  <si>
    <t>Cash Carry Forward from Oct 25</t>
  </si>
  <si>
    <t>Additional Cash to Ramegowda</t>
  </si>
  <si>
    <t>Plumbing Expense</t>
  </si>
  <si>
    <t xml:space="preserve">Note: </t>
  </si>
  <si>
    <t>Increase in Mariswamy salary by Rs. 1000 ( We had taken approval in GB but doing it now )</t>
  </si>
  <si>
    <t xml:space="preserve">Security - Insted of paying to agency we are paying 750 more to staff directly </t>
  </si>
  <si>
    <t>Monthly Collection Expenditure Details - December 2025</t>
  </si>
  <si>
    <t>Bank Expense</t>
  </si>
  <si>
    <t>Bank Interest</t>
  </si>
  <si>
    <t xml:space="preserve">BWSSB (Nov and Dec Month) </t>
  </si>
  <si>
    <t>Cash Withdrawal in Dec 25</t>
  </si>
  <si>
    <t>Cash Carry Forward from Nov 25</t>
  </si>
  <si>
    <t xml:space="preserve">Broomstick + Phenol </t>
  </si>
  <si>
    <t>Sump and Tank Cleaning</t>
  </si>
  <si>
    <t xml:space="preserve">Electrical Work (Meter board circuit) </t>
  </si>
  <si>
    <t>Note: BWSSB will was not deducted in Oct, so in Nov Oct month was paid and in Dec  - Nov and Dec month bill was paid.  Bank charges are due to Cheque leaf request</t>
  </si>
  <si>
    <t>Monthly Collection&amp;Expenditure Details - January 2026</t>
  </si>
  <si>
    <t>Cash Withdrawal in Jan 26</t>
  </si>
  <si>
    <t>Cash Carry Forward from Dec 25</t>
  </si>
  <si>
    <t>Water level Sensor - Repair</t>
  </si>
  <si>
    <t>Monthly Collection&amp;Expenditure Details - Febuary 2026</t>
  </si>
  <si>
    <t>Fund from FD</t>
  </si>
  <si>
    <t>Cash Withdrawal in Feb 26</t>
  </si>
  <si>
    <t>Cash Carry Forward from Jan 26</t>
  </si>
  <si>
    <t>Repalcement of Tap</t>
  </si>
  <si>
    <t>Monthly Collection&amp;Expenditure Details - March 2026</t>
  </si>
  <si>
    <t>Mar</t>
  </si>
  <si>
    <t>Expense Type</t>
  </si>
  <si>
    <t>Expenditure</t>
  </si>
  <si>
    <t xml:space="preserve"> </t>
  </si>
  <si>
    <t>Oct</t>
  </si>
  <si>
    <t>10 Chair</t>
  </si>
  <si>
    <t>Aug</t>
  </si>
  <si>
    <t>Sep</t>
  </si>
  <si>
    <t>Nov</t>
  </si>
  <si>
    <t>Dec</t>
  </si>
  <si>
    <t>Jan</t>
  </si>
  <si>
    <t>Feb</t>
  </si>
  <si>
    <t>AGM Expense</t>
  </si>
  <si>
    <t>Bank</t>
  </si>
  <si>
    <t xml:space="preserve">Bonus + Pooja </t>
  </si>
  <si>
    <t>Electical Repair</t>
  </si>
  <si>
    <t>Garbage Bin</t>
  </si>
  <si>
    <t>Garden</t>
  </si>
  <si>
    <t>Lift</t>
  </si>
  <si>
    <t>Lock</t>
  </si>
  <si>
    <t xml:space="preserve">SUM of  Expenditure </t>
  </si>
  <si>
    <t>Per Month expense</t>
  </si>
  <si>
    <t>Per Month Exluding Lift Expense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</si>
</sst>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.00_);_(* \(#,##0.00\);_(* &quot;-&quot;??_);_(@_)"/>
    <numFmt numFmtId="165" formatCode="d-mmm-yy"/>
    <numFmt numFmtId="166" formatCode="d-mmm-yyyy"/>
  </numFmts>
  <fonts count="15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  <font>
      <sz val="20.0"/>
      <color theme="1"/>
      <name val="Calibri"/>
    </font>
    <font/>
    <font>
      <sz val="14.0"/>
      <color theme="1"/>
      <name val="Calibri"/>
    </font>
    <font>
      <b/>
      <sz val="11.0"/>
      <color theme="1"/>
      <name val="Calibri"/>
    </font>
    <font>
      <b/>
      <sz val="20.0"/>
      <color theme="1"/>
      <name val="Calibri"/>
    </font>
    <font>
      <b/>
      <color theme="1"/>
      <name val="Calibri"/>
    </font>
    <font>
      <b/>
      <sz val="13.0"/>
      <color theme="1"/>
      <name val="Calibri"/>
    </font>
    <font>
      <b/>
      <i/>
      <color theme="1"/>
      <name val="Calibri"/>
    </font>
    <font>
      <b/>
      <color theme="1"/>
      <name val="Calibri"/>
      <scheme val="minor"/>
    </font>
    <font>
      <color theme="1"/>
      <name val="Arial"/>
    </font>
    <font>
      <b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wrapText="1"/>
    </xf>
    <xf borderId="1" fillId="2" fontId="1" numFmtId="164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2" numFmtId="0" xfId="0" applyBorder="1" applyFont="1"/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64" xfId="0" applyFont="1" applyNumberFormat="1"/>
    <xf borderId="2" fillId="0" fontId="4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2" fillId="0" fontId="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shrinkToFit="0" vertical="center" wrapText="1"/>
    </xf>
    <xf borderId="1" fillId="0" fontId="1" numFmtId="15" xfId="0" applyAlignment="1" applyBorder="1" applyFont="1" applyNumberFormat="1">
      <alignment horizontal="center" shrinkToFit="0" vertical="center" wrapText="1"/>
    </xf>
    <xf borderId="1" fillId="0" fontId="7" numFmtId="16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1" numFmtId="3" xfId="0" applyFont="1" applyNumberFormat="1"/>
    <xf borderId="0" fillId="0" fontId="2" numFmtId="0" xfId="0" applyFont="1"/>
    <xf borderId="1" fillId="0" fontId="1" numFmtId="15" xfId="0" applyAlignment="1" applyBorder="1" applyFont="1" applyNumberForma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0" fillId="0" fontId="9" numFmtId="0" xfId="0" applyFont="1"/>
    <xf borderId="1" fillId="0" fontId="1" numFmtId="165" xfId="0" applyAlignment="1" applyBorder="1" applyFont="1" applyNumberFormat="1">
      <alignment horizontal="center" shrinkToFit="0" vertical="center" wrapText="1"/>
    </xf>
    <xf borderId="1" fillId="0" fontId="10" numFmtId="0" xfId="0" applyBorder="1" applyFont="1"/>
    <xf borderId="1" fillId="0" fontId="9" numFmtId="0" xfId="0" applyBorder="1" applyFont="1"/>
    <xf borderId="0" fillId="0" fontId="2" numFmtId="0" xfId="0" applyAlignment="1" applyFont="1">
      <alignment shrinkToFit="0" wrapText="0"/>
    </xf>
    <xf borderId="2" fillId="0" fontId="9" numFmtId="0" xfId="0" applyAlignment="1" applyBorder="1" applyFont="1">
      <alignment horizontal="center"/>
    </xf>
    <xf borderId="1" fillId="0" fontId="1" numFmtId="15" xfId="0" applyAlignment="1" applyBorder="1" applyFont="1" applyNumberFormat="1">
      <alignment horizontal="center" readingOrder="0" shrinkToFit="0" vertical="center" wrapText="1"/>
    </xf>
    <xf borderId="1" fillId="0" fontId="7" numFmtId="164" xfId="0" applyAlignment="1" applyBorder="1" applyFont="1" applyNumberFormat="1">
      <alignment horizontal="center" readingOrder="0" shrinkToFit="0" vertical="center" wrapText="1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2" fillId="0" fontId="6" numFmtId="0" xfId="0" applyAlignment="1" applyBorder="1" applyFont="1">
      <alignment horizontal="center" readingOrder="0" shrinkToFit="0" vertical="center" wrapText="1"/>
    </xf>
    <xf borderId="1" fillId="0" fontId="1" numFmtId="165" xfId="0" applyAlignment="1" applyBorder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wrapText="1"/>
    </xf>
    <xf borderId="1" fillId="0" fontId="1" numFmtId="15" xfId="0" applyAlignment="1" applyBorder="1" applyFont="1" applyNumberForma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1" fillId="0" fontId="1" numFmtId="166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right" vertical="bottom"/>
    </xf>
    <xf borderId="1" fillId="0" fontId="1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bottom"/>
    </xf>
    <xf borderId="1" fillId="0" fontId="1" numFmtId="165" xfId="0" applyAlignment="1" applyBorder="1" applyFont="1" applyNumberFormat="1">
      <alignment horizontal="center" readingOrder="0" shrinkToFit="0" wrapText="1"/>
    </xf>
    <xf borderId="0" fillId="0" fontId="9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5" fillId="0" fontId="3" numFmtId="0" xfId="0" applyBorder="1" applyFont="1"/>
    <xf borderId="0" fillId="0" fontId="11" numFmtId="0" xfId="0" applyAlignment="1" applyFont="1">
      <alignment readingOrder="0"/>
    </xf>
    <xf borderId="0" fillId="0" fontId="12" numFmtId="0" xfId="0" applyFont="1"/>
    <xf borderId="0" fillId="0" fontId="1" numFmtId="15" xfId="0" applyAlignment="1" applyFont="1" applyNumberForma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13" numFmtId="0" xfId="0" applyAlignment="1" applyFont="1">
      <alignment horizontal="right" vertical="bottom"/>
    </xf>
    <xf borderId="0" fillId="0" fontId="3" numFmtId="4" xfId="0" applyAlignment="1" applyFont="1" applyNumberFormat="1">
      <alignment readingOrder="0"/>
    </xf>
    <xf borderId="0" fillId="0" fontId="12" numFmtId="0" xfId="0" applyAlignment="1" applyFont="1">
      <alignment readingOrder="0" shrinkToFit="0" wrapText="1"/>
    </xf>
    <xf borderId="1" fillId="0" fontId="14" numFmtId="0" xfId="0" applyAlignment="1" applyBorder="1" applyFont="1">
      <alignment horizontal="center" shrinkToFit="0" wrapText="1"/>
    </xf>
    <xf borderId="1" fillId="2" fontId="7" numFmtId="0" xfId="0" applyAlignment="1" applyBorder="1" applyFont="1">
      <alignment horizontal="center" readingOrder="0" shrinkToFit="0" vertical="center" wrapText="1"/>
    </xf>
    <xf borderId="1" fillId="2" fontId="7" numFmtId="0" xfId="0" applyAlignment="1" applyBorder="1" applyFont="1">
      <alignment horizontal="center" readingOrder="0" shrinkToFit="0" wrapText="1"/>
    </xf>
    <xf borderId="1" fillId="2" fontId="7" numFmtId="164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right" vertical="bottom"/>
    </xf>
    <xf borderId="0" fillId="0" fontId="1" numFmtId="164" xfId="0" applyAlignment="1" applyFont="1" applyNumberFormat="1">
      <alignment horizontal="center" shrinkToFit="0" vertical="center" wrapText="1"/>
    </xf>
    <xf borderId="1" fillId="0" fontId="12" numFmtId="0" xfId="0" applyAlignment="1" applyBorder="1" applyFont="1">
      <alignment readingOrder="0"/>
    </xf>
    <xf borderId="1" fillId="0" fontId="12" numFmtId="1" xfId="0" applyBorder="1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823" sheet="25-26 Report"/>
  </cacheSource>
  <cacheFields>
    <cacheField name="Month" numFmtId="0">
      <sharedItems containsBlank="1">
        <s v="Oct"/>
        <s v="April"/>
        <s v="May"/>
        <s v="June"/>
        <s v="July"/>
        <s v="Aug"/>
        <s v="Sep"/>
        <s v="Nov"/>
        <s v="Dec"/>
        <s v="Jan"/>
        <s v="Feb"/>
        <s v="Mar"/>
        <m/>
      </sharedItems>
    </cacheField>
    <cacheField name="Expense Type" numFmtId="0">
      <sharedItems containsBlank="1">
        <s v="10 Chair"/>
        <s v="Additional Cash Pay to C.Reddy"/>
        <s v="Additional Cash to Ramegowda"/>
        <s v="AGM Expense"/>
        <s v="Bank"/>
        <s v="Bharath Elevator "/>
        <s v="Bonus + Pooja "/>
        <s v="BWSSB"/>
        <s v="Cleaning Items"/>
        <s v="Diesel"/>
        <s v="Electical Repair"/>
        <s v="Fund from FD"/>
        <s v="Garbage Bin"/>
        <s v="Garden"/>
        <s v="Generator Maintenance"/>
        <s v="Karthik KC"/>
        <s v="Lift"/>
        <s v="Lock"/>
        <s v="Monthly Expense Contribution"/>
        <s v="Payment to Bescom"/>
        <s v="Payment to Housekeeping (Mariswamy)"/>
        <s v="Plumbing Expense"/>
        <s v="Sump and Tank Cleaning"/>
        <s v="Towards Garbage Collection"/>
        <s v="Wheel Chair"/>
        <m/>
      </sharedItems>
    </cacheField>
    <cacheField name=" Income " numFmtId="0">
      <sharedItems containsString="0" containsBlank="1" containsNumber="1" containsInteger="1">
        <m/>
        <n v="1473.0"/>
        <n v="1398.0"/>
        <n v="215870.0"/>
        <n v="140400.0"/>
        <n v="54600.0"/>
        <n v="52000.0"/>
        <n v="132600.0"/>
        <n v="60808.0"/>
        <n v="70200.0"/>
        <n v="83200.0"/>
        <n v="62400.0"/>
        <n v="91800.0"/>
        <n v="60000.0"/>
      </sharedItems>
    </cacheField>
    <cacheField name=" Expenditure " numFmtId="164">
      <sharedItems containsString="0" containsBlank="1" containsNumber="1">
        <n v="6800.0"/>
        <n v="500.0"/>
        <n v="750.0"/>
        <n v="5450.0"/>
        <m/>
        <n v="11.8"/>
        <n v="23306.0"/>
        <n v="177000.0"/>
        <n v="14000.0"/>
        <n v="10400.0"/>
        <n v="21913.0"/>
        <n v="8278.0"/>
        <n v="9950.0"/>
        <n v="10250.0"/>
        <n v="10625.0"/>
        <n v="11300.0"/>
        <n v="10225.0"/>
        <n v="10125.0"/>
        <n v="840.0"/>
        <n v="375.0"/>
        <n v="600.0"/>
        <n v="580.0"/>
        <n v="1000.0"/>
        <n v="16000.0"/>
        <n v="2550.0"/>
        <n v="3478.0"/>
        <n v="280.0"/>
        <n v="2300.0"/>
        <n v="10030.0"/>
        <n v="29000.0"/>
        <n v="3000.0"/>
        <n v="439.0"/>
        <n v="10538.0"/>
        <n v="11508.0"/>
        <n v="9626.0"/>
        <n v="10583.0"/>
        <n v="11181.0"/>
        <n v="10928.0"/>
        <n v="10717.0"/>
        <n v="10729.0"/>
        <n v="10776.0"/>
        <n v="11005.0"/>
        <n v="10670.0"/>
        <n v="2050.0"/>
        <n v="15000.0"/>
        <n v="1300.0"/>
        <n v="1400.0"/>
        <n v="4550.0"/>
        <n v="1500.0"/>
        <n v="4500.0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  <cacheField name=" 18" numFmtId="0">
      <sharedItems containsString="0" containsBlank="1">
        <m/>
      </sharedItems>
    </cacheField>
    <cacheField name=" 19" numFmtId="0">
      <sharedItems containsString="0" containsBlank="1">
        <m/>
      </sharedItems>
    </cacheField>
    <cacheField name=" 20" numFmtId="0">
      <sharedItems containsString="0" containsBlank="1">
        <m/>
      </sharedItems>
    </cacheField>
    <cacheField name=" 21" numFmtId="0">
      <sharedItems containsString="0" containsBlank="1">
        <m/>
      </sharedItems>
    </cacheField>
    <cacheField name=" 2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C15" firstHeaderRow="0" firstDataRow="2" firstDataCol="0"/>
  <pivotFields>
    <pivotField name="Month" axis="axisRow" compact="0" outline="0" multipleItemSelectionAllowed="1" showAll="0" sortType="ascending">
      <items>
        <item x="12"/>
        <item x="1"/>
        <item x="5"/>
        <item x="8"/>
        <item x="10"/>
        <item x="9"/>
        <item x="4"/>
        <item x="3"/>
        <item x="11"/>
        <item x="2"/>
        <item x="7"/>
        <item x="0"/>
        <item x="6"/>
        <item t="default"/>
      </items>
    </pivotField>
    <pivotField name="Expense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 Income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Expenditure 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  <pivotField name=" 21" compact="0" outline="0" multipleItemSelectionAllowed="1" showAll="0">
      <items>
        <item x="0"/>
        <item t="default"/>
      </items>
    </pivotField>
    <pivotField name=" 22" compact="0" outline="0" multipleItemSelectionAllowed="1" showAll="0">
      <items>
        <item x="0"/>
        <item t="default"/>
      </items>
    </pivotField>
  </pivotFields>
  <rowFields>
    <field x="0"/>
  </rowFields>
  <colFields>
    <field x="-2"/>
  </colFields>
  <dataFields>
    <dataField name="SUM of  Income " fld="2" baseField="0"/>
    <dataField name="SUM of  Expenditure " fld="3" baseField="0"/>
  </dataFields>
</pivotTableDefinition>
</file>

<file path=xl/pivotTables/pivotTable2.xml><?xml version="1.0" encoding="utf-8"?>
<pivotTableDefinition xmlns="http://schemas.openxmlformats.org/spreadsheetml/2006/main" name="Pivot Table 2 2" cacheId="0" dataCaption="" compact="0" compactData="0">
  <location ref="A20:B47" firstHeaderRow="0" firstDataRow="1" firstDataCol="0"/>
  <pivotFields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Expense Type" axis="axisRow" compact="0" outline="0" multipleItemSelectionAllowed="1" showAll="0" sortType="ascending">
      <items>
        <item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 Income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Expenditure 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  <pivotField name=" 21" compact="0" outline="0" multipleItemSelectionAllowed="1" showAll="0">
      <items>
        <item x="0"/>
        <item t="default"/>
      </items>
    </pivotField>
    <pivotField name=" 22" compact="0" outline="0" multipleItemSelectionAllowed="1" showAll="0">
      <items>
        <item x="0"/>
        <item t="default"/>
      </items>
    </pivotField>
  </pivotFields>
  <rowFields>
    <field x="1"/>
  </rowFields>
  <dataFields>
    <dataField name="SUM of  Expenditure 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66.71"/>
  </cols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4" t="s">
        <v>4</v>
      </c>
      <c r="B2" s="5" t="s">
        <v>5</v>
      </c>
      <c r="C2" s="6">
        <v>130000.0</v>
      </c>
      <c r="D2" s="6"/>
    </row>
    <row r="3">
      <c r="A3" s="4" t="s">
        <v>4</v>
      </c>
      <c r="B3" s="5" t="s">
        <v>6</v>
      </c>
      <c r="C3" s="6">
        <v>5885.0</v>
      </c>
      <c r="D3" s="6"/>
    </row>
    <row r="4">
      <c r="A4" s="4" t="s">
        <v>4</v>
      </c>
      <c r="B4" s="5" t="s">
        <v>7</v>
      </c>
      <c r="C4" s="6"/>
      <c r="D4" s="6">
        <v>27500.0</v>
      </c>
    </row>
    <row r="5">
      <c r="A5" s="4" t="s">
        <v>4</v>
      </c>
      <c r="B5" s="5" t="s">
        <v>8</v>
      </c>
      <c r="C5" s="6"/>
      <c r="D5" s="6">
        <v>10000.0</v>
      </c>
    </row>
    <row r="6">
      <c r="A6" s="4" t="s">
        <v>4</v>
      </c>
      <c r="B6" s="5" t="s">
        <v>9</v>
      </c>
      <c r="C6" s="6"/>
      <c r="D6" s="6">
        <v>11495.0</v>
      </c>
    </row>
    <row r="7">
      <c r="A7" s="4" t="s">
        <v>4</v>
      </c>
      <c r="B7" s="5" t="s">
        <v>10</v>
      </c>
      <c r="C7" s="6"/>
      <c r="D7" s="6">
        <v>7750.0</v>
      </c>
    </row>
    <row r="8">
      <c r="A8" s="4" t="s">
        <v>4</v>
      </c>
      <c r="B8" s="5" t="s">
        <v>11</v>
      </c>
      <c r="C8" s="6"/>
      <c r="D8" s="6">
        <v>1500.0</v>
      </c>
    </row>
    <row r="9">
      <c r="A9" s="4" t="s">
        <v>4</v>
      </c>
      <c r="B9" s="5" t="s">
        <v>12</v>
      </c>
      <c r="C9" s="6"/>
      <c r="D9" s="6">
        <v>500.0</v>
      </c>
    </row>
    <row r="10">
      <c r="A10" s="4" t="s">
        <v>4</v>
      </c>
      <c r="B10" s="5" t="s">
        <v>13</v>
      </c>
      <c r="C10" s="6"/>
      <c r="D10" s="6">
        <v>3000.0</v>
      </c>
    </row>
    <row r="11">
      <c r="A11" s="4" t="s">
        <v>4</v>
      </c>
      <c r="B11" s="5" t="s">
        <v>14</v>
      </c>
      <c r="C11" s="6"/>
      <c r="D11" s="6">
        <v>3500.0</v>
      </c>
    </row>
    <row r="12">
      <c r="A12" s="4" t="s">
        <v>4</v>
      </c>
      <c r="B12" s="5" t="s">
        <v>15</v>
      </c>
      <c r="C12" s="6"/>
      <c r="D12" s="6">
        <v>1200.0</v>
      </c>
    </row>
    <row r="13">
      <c r="A13" s="4" t="s">
        <v>16</v>
      </c>
      <c r="B13" s="5" t="s">
        <v>5</v>
      </c>
      <c r="C13" s="6">
        <v>65000.0</v>
      </c>
      <c r="D13" s="6"/>
    </row>
    <row r="14">
      <c r="A14" s="4" t="s">
        <v>16</v>
      </c>
      <c r="B14" s="5" t="s">
        <v>8</v>
      </c>
      <c r="C14" s="6"/>
      <c r="D14" s="6">
        <v>11000.0</v>
      </c>
    </row>
    <row r="15">
      <c r="A15" s="4" t="s">
        <v>16</v>
      </c>
      <c r="B15" s="5" t="s">
        <v>17</v>
      </c>
      <c r="C15" s="6"/>
      <c r="D15" s="6">
        <v>27500.0</v>
      </c>
    </row>
    <row r="16">
      <c r="A16" s="4" t="s">
        <v>16</v>
      </c>
      <c r="B16" s="5" t="s">
        <v>18</v>
      </c>
      <c r="C16" s="6"/>
      <c r="D16" s="6">
        <v>1180.0</v>
      </c>
    </row>
    <row r="17">
      <c r="A17" s="4" t="s">
        <v>16</v>
      </c>
      <c r="B17" s="5" t="s">
        <v>19</v>
      </c>
      <c r="C17" s="6"/>
      <c r="D17" s="6">
        <v>22199.0</v>
      </c>
    </row>
    <row r="18">
      <c r="A18" s="4" t="s">
        <v>16</v>
      </c>
      <c r="B18" s="5" t="s">
        <v>20</v>
      </c>
      <c r="C18" s="6"/>
      <c r="D18" s="6">
        <v>150000.0</v>
      </c>
    </row>
    <row r="19">
      <c r="A19" s="4" t="s">
        <v>16</v>
      </c>
      <c r="B19" s="5" t="s">
        <v>21</v>
      </c>
      <c r="C19" s="6"/>
      <c r="D19" s="6">
        <v>10000.0</v>
      </c>
    </row>
    <row r="20">
      <c r="A20" s="4" t="s">
        <v>16</v>
      </c>
      <c r="B20" s="5" t="s">
        <v>9</v>
      </c>
      <c r="C20" s="6"/>
      <c r="D20" s="6">
        <f>6930+2203+2255</f>
        <v>11388</v>
      </c>
    </row>
    <row r="21">
      <c r="A21" s="4" t="s">
        <v>16</v>
      </c>
      <c r="B21" s="5" t="s">
        <v>10</v>
      </c>
      <c r="C21" s="6"/>
      <c r="D21" s="6">
        <v>6826.0</v>
      </c>
    </row>
    <row r="22">
      <c r="A22" s="4" t="s">
        <v>16</v>
      </c>
      <c r="B22" s="5" t="s">
        <v>11</v>
      </c>
      <c r="C22" s="6"/>
      <c r="D22" s="6">
        <v>1500.0</v>
      </c>
    </row>
    <row r="23">
      <c r="A23" s="4" t="s">
        <v>16</v>
      </c>
      <c r="B23" s="5" t="s">
        <v>12</v>
      </c>
      <c r="C23" s="6"/>
      <c r="D23" s="6">
        <v>500.0</v>
      </c>
    </row>
    <row r="24">
      <c r="A24" s="4" t="s">
        <v>16</v>
      </c>
      <c r="B24" s="5" t="s">
        <v>22</v>
      </c>
      <c r="C24" s="6"/>
      <c r="D24" s="6">
        <v>1000.0</v>
      </c>
    </row>
    <row r="25">
      <c r="A25" s="4" t="s">
        <v>16</v>
      </c>
      <c r="B25" s="5" t="s">
        <v>23</v>
      </c>
      <c r="C25" s="6"/>
      <c r="D25" s="6">
        <v>2835.0</v>
      </c>
    </row>
    <row r="26">
      <c r="A26" s="4" t="s">
        <v>24</v>
      </c>
      <c r="B26" s="5" t="s">
        <v>5</v>
      </c>
      <c r="C26" s="6">
        <v>96200.0</v>
      </c>
      <c r="D26" s="6"/>
    </row>
    <row r="27">
      <c r="A27" s="4" t="s">
        <v>24</v>
      </c>
      <c r="B27" s="5" t="s">
        <v>8</v>
      </c>
      <c r="C27" s="6"/>
      <c r="D27" s="6">
        <v>11000.0</v>
      </c>
    </row>
    <row r="28">
      <c r="A28" s="4" t="s">
        <v>24</v>
      </c>
      <c r="B28" s="5" t="s">
        <v>25</v>
      </c>
      <c r="C28" s="6"/>
      <c r="D28" s="6">
        <v>27500.0</v>
      </c>
    </row>
    <row r="29">
      <c r="A29" s="4" t="s">
        <v>24</v>
      </c>
      <c r="B29" s="5" t="s">
        <v>18</v>
      </c>
      <c r="C29" s="6"/>
      <c r="D29" s="6">
        <v>118.0</v>
      </c>
    </row>
    <row r="30">
      <c r="A30" s="4" t="s">
        <v>24</v>
      </c>
      <c r="B30" s="5" t="s">
        <v>9</v>
      </c>
      <c r="C30" s="6"/>
      <c r="D30" s="6">
        <v>11683.0</v>
      </c>
    </row>
    <row r="31">
      <c r="A31" s="4" t="s">
        <v>24</v>
      </c>
      <c r="B31" s="5" t="s">
        <v>11</v>
      </c>
      <c r="C31" s="6"/>
      <c r="D31" s="6">
        <v>1500.0</v>
      </c>
    </row>
    <row r="32">
      <c r="A32" s="4" t="s">
        <v>24</v>
      </c>
      <c r="B32" s="5" t="s">
        <v>12</v>
      </c>
      <c r="C32" s="6"/>
      <c r="D32" s="6">
        <v>500.0</v>
      </c>
    </row>
    <row r="33">
      <c r="A33" s="4" t="s">
        <v>24</v>
      </c>
      <c r="B33" s="5" t="s">
        <v>26</v>
      </c>
      <c r="C33" s="6"/>
      <c r="D33" s="6">
        <v>6980.0</v>
      </c>
    </row>
    <row r="34">
      <c r="A34" s="4" t="s">
        <v>27</v>
      </c>
      <c r="B34" s="5" t="s">
        <v>5</v>
      </c>
      <c r="C34" s="6">
        <v>80600.0</v>
      </c>
      <c r="D34" s="6"/>
    </row>
    <row r="35">
      <c r="A35" s="4" t="s">
        <v>27</v>
      </c>
      <c r="B35" s="5" t="s">
        <v>8</v>
      </c>
      <c r="C35" s="6"/>
      <c r="D35" s="6">
        <v>11000.0</v>
      </c>
    </row>
    <row r="36">
      <c r="A36" s="4" t="s">
        <v>27</v>
      </c>
      <c r="B36" s="5" t="s">
        <v>25</v>
      </c>
      <c r="C36" s="6"/>
      <c r="D36" s="6">
        <v>27500.0</v>
      </c>
    </row>
    <row r="37">
      <c r="A37" s="4" t="s">
        <v>27</v>
      </c>
      <c r="B37" s="5" t="s">
        <v>10</v>
      </c>
      <c r="C37" s="6"/>
      <c r="D37" s="6">
        <v>7178.0</v>
      </c>
    </row>
    <row r="38">
      <c r="A38" s="4" t="s">
        <v>27</v>
      </c>
      <c r="B38" s="5" t="s">
        <v>9</v>
      </c>
      <c r="C38" s="6"/>
      <c r="D38" s="6">
        <v>9042.0</v>
      </c>
    </row>
    <row r="39">
      <c r="A39" s="4" t="s">
        <v>27</v>
      </c>
      <c r="B39" s="5" t="s">
        <v>11</v>
      </c>
      <c r="C39" s="6"/>
      <c r="D39" s="6">
        <v>1500.0</v>
      </c>
    </row>
    <row r="40">
      <c r="A40" s="4" t="s">
        <v>27</v>
      </c>
      <c r="B40" s="5" t="s">
        <v>12</v>
      </c>
      <c r="C40" s="6"/>
      <c r="D40" s="6">
        <v>500.0</v>
      </c>
    </row>
    <row r="41">
      <c r="A41" s="4" t="s">
        <v>27</v>
      </c>
      <c r="B41" s="5" t="s">
        <v>28</v>
      </c>
      <c r="C41" s="6"/>
      <c r="D41" s="6">
        <v>4350.0</v>
      </c>
    </row>
    <row r="42">
      <c r="A42" s="4" t="s">
        <v>27</v>
      </c>
      <c r="B42" s="5" t="s">
        <v>29</v>
      </c>
      <c r="C42" s="6"/>
      <c r="D42" s="6">
        <v>3000.0</v>
      </c>
    </row>
    <row r="43">
      <c r="A43" s="4" t="s">
        <v>27</v>
      </c>
      <c r="B43" s="5" t="s">
        <v>22</v>
      </c>
      <c r="C43" s="6"/>
      <c r="D43" s="6">
        <v>1000.0</v>
      </c>
    </row>
    <row r="44">
      <c r="A44" s="4" t="s">
        <v>30</v>
      </c>
      <c r="B44" s="5" t="s">
        <v>5</v>
      </c>
      <c r="C44" s="6">
        <v>65000.0</v>
      </c>
      <c r="D44" s="6"/>
    </row>
    <row r="45">
      <c r="A45" s="4" t="s">
        <v>30</v>
      </c>
      <c r="B45" s="5" t="s">
        <v>8</v>
      </c>
      <c r="C45" s="6"/>
      <c r="D45" s="6">
        <v>11000.0</v>
      </c>
    </row>
    <row r="46">
      <c r="A46" s="4" t="s">
        <v>30</v>
      </c>
      <c r="B46" s="5" t="s">
        <v>25</v>
      </c>
      <c r="C46" s="6"/>
      <c r="D46" s="6">
        <v>27500.0</v>
      </c>
    </row>
    <row r="47">
      <c r="A47" s="4" t="s">
        <v>30</v>
      </c>
      <c r="B47" s="5" t="s">
        <v>31</v>
      </c>
      <c r="C47" s="6"/>
      <c r="D47" s="6">
        <v>7486.0</v>
      </c>
    </row>
    <row r="48">
      <c r="A48" s="4" t="s">
        <v>30</v>
      </c>
      <c r="B48" s="5" t="s">
        <v>32</v>
      </c>
      <c r="C48" s="6"/>
      <c r="D48" s="6">
        <v>8024.0</v>
      </c>
    </row>
    <row r="49">
      <c r="A49" s="4" t="s">
        <v>30</v>
      </c>
      <c r="B49" s="5" t="s">
        <v>9</v>
      </c>
      <c r="C49" s="6"/>
      <c r="D49" s="6">
        <v>10609.0</v>
      </c>
    </row>
    <row r="50">
      <c r="A50" s="4" t="s">
        <v>30</v>
      </c>
      <c r="B50" s="5" t="s">
        <v>11</v>
      </c>
      <c r="C50" s="6"/>
      <c r="D50" s="6">
        <v>1500.0</v>
      </c>
    </row>
    <row r="51">
      <c r="A51" s="4" t="s">
        <v>30</v>
      </c>
      <c r="B51" s="5" t="s">
        <v>12</v>
      </c>
      <c r="C51" s="6"/>
      <c r="D51" s="6">
        <v>500.0</v>
      </c>
    </row>
    <row r="52">
      <c r="A52" s="4" t="s">
        <v>30</v>
      </c>
      <c r="B52" s="5" t="s">
        <v>33</v>
      </c>
      <c r="C52" s="6"/>
      <c r="D52" s="6">
        <v>485.0</v>
      </c>
    </row>
    <row r="53">
      <c r="A53" s="4" t="s">
        <v>34</v>
      </c>
      <c r="B53" s="5" t="s">
        <v>5</v>
      </c>
      <c r="C53" s="6">
        <v>72800.0</v>
      </c>
      <c r="D53" s="6"/>
    </row>
    <row r="54">
      <c r="A54" s="4" t="s">
        <v>34</v>
      </c>
      <c r="B54" s="5" t="s">
        <v>8</v>
      </c>
      <c r="C54" s="6"/>
      <c r="D54" s="6">
        <v>11000.0</v>
      </c>
    </row>
    <row r="55">
      <c r="A55" s="4" t="s">
        <v>34</v>
      </c>
      <c r="B55" s="5" t="s">
        <v>25</v>
      </c>
      <c r="C55" s="6"/>
      <c r="D55" s="6">
        <v>27500.0</v>
      </c>
    </row>
    <row r="56">
      <c r="A56" s="4" t="s">
        <v>34</v>
      </c>
      <c r="B56" s="5" t="s">
        <v>31</v>
      </c>
      <c r="C56" s="6"/>
      <c r="D56" s="6">
        <v>7457.0</v>
      </c>
    </row>
    <row r="57">
      <c r="A57" s="4" t="s">
        <v>34</v>
      </c>
      <c r="B57" s="5" t="s">
        <v>35</v>
      </c>
      <c r="C57" s="6"/>
      <c r="D57" s="6">
        <v>15000.0</v>
      </c>
    </row>
    <row r="58">
      <c r="A58" s="4" t="s">
        <v>34</v>
      </c>
      <c r="B58" s="5" t="s">
        <v>9</v>
      </c>
      <c r="C58" s="6"/>
      <c r="D58" s="6">
        <v>10328.0</v>
      </c>
    </row>
    <row r="59">
      <c r="A59" s="4" t="s">
        <v>34</v>
      </c>
      <c r="B59" s="5" t="s">
        <v>11</v>
      </c>
      <c r="C59" s="6"/>
      <c r="D59" s="6">
        <v>1500.0</v>
      </c>
    </row>
    <row r="60">
      <c r="A60" s="4" t="s">
        <v>34</v>
      </c>
      <c r="B60" s="5" t="s">
        <v>12</v>
      </c>
      <c r="C60" s="6"/>
      <c r="D60" s="6">
        <v>500.0</v>
      </c>
    </row>
    <row r="61">
      <c r="A61" s="4" t="s">
        <v>34</v>
      </c>
      <c r="B61" s="5" t="s">
        <v>36</v>
      </c>
      <c r="C61" s="6"/>
      <c r="D61" s="6">
        <v>400.0</v>
      </c>
    </row>
    <row r="62">
      <c r="A62" s="4" t="s">
        <v>34</v>
      </c>
      <c r="B62" s="5" t="s">
        <v>37</v>
      </c>
      <c r="C62" s="6"/>
      <c r="D62" s="6">
        <v>1000.0</v>
      </c>
    </row>
    <row r="63">
      <c r="A63" s="4" t="s">
        <v>38</v>
      </c>
      <c r="B63" s="5" t="s">
        <v>5</v>
      </c>
      <c r="C63" s="6">
        <v>72800.0</v>
      </c>
      <c r="D63" s="6"/>
    </row>
    <row r="64">
      <c r="A64" s="4" t="s">
        <v>38</v>
      </c>
      <c r="B64" s="5" t="s">
        <v>8</v>
      </c>
      <c r="C64" s="6"/>
      <c r="D64" s="6">
        <v>11000.0</v>
      </c>
    </row>
    <row r="65">
      <c r="A65" s="4" t="s">
        <v>38</v>
      </c>
      <c r="B65" s="5" t="s">
        <v>25</v>
      </c>
      <c r="C65" s="6"/>
      <c r="D65" s="6">
        <v>27500.0</v>
      </c>
    </row>
    <row r="66">
      <c r="A66" s="4" t="s">
        <v>38</v>
      </c>
      <c r="B66" s="5" t="s">
        <v>31</v>
      </c>
      <c r="C66" s="6"/>
      <c r="D66" s="6">
        <v>7850.0</v>
      </c>
    </row>
    <row r="67">
      <c r="A67" s="4" t="s">
        <v>38</v>
      </c>
      <c r="B67" s="5" t="s">
        <v>39</v>
      </c>
      <c r="C67" s="6"/>
      <c r="D67" s="6">
        <v>15680.0</v>
      </c>
    </row>
    <row r="68">
      <c r="A68" s="4" t="s">
        <v>38</v>
      </c>
      <c r="B68" s="5" t="s">
        <v>40</v>
      </c>
      <c r="C68" s="6"/>
      <c r="D68" s="6">
        <v>15000.0</v>
      </c>
    </row>
    <row r="69">
      <c r="A69" s="4" t="s">
        <v>38</v>
      </c>
      <c r="B69" s="5" t="s">
        <v>9</v>
      </c>
      <c r="C69" s="7"/>
      <c r="D69" s="6">
        <v>9635.0</v>
      </c>
    </row>
    <row r="70">
      <c r="A70" s="4" t="s">
        <v>38</v>
      </c>
      <c r="B70" s="5" t="s">
        <v>41</v>
      </c>
      <c r="C70" s="6"/>
      <c r="D70" s="6">
        <v>9649.0</v>
      </c>
    </row>
    <row r="71">
      <c r="A71" s="4" t="s">
        <v>38</v>
      </c>
      <c r="B71" s="5" t="s">
        <v>11</v>
      </c>
      <c r="C71" s="6"/>
      <c r="D71" s="6">
        <v>1500.0</v>
      </c>
    </row>
    <row r="72">
      <c r="A72" s="4" t="s">
        <v>38</v>
      </c>
      <c r="B72" s="5" t="s">
        <v>12</v>
      </c>
      <c r="C72" s="6"/>
      <c r="D72" s="6">
        <v>500.0</v>
      </c>
    </row>
    <row r="73">
      <c r="A73" s="4" t="s">
        <v>38</v>
      </c>
      <c r="B73" s="5" t="s">
        <v>42</v>
      </c>
      <c r="C73" s="6"/>
      <c r="D73" s="6">
        <v>11210.0</v>
      </c>
    </row>
    <row r="74">
      <c r="A74" s="4" t="s">
        <v>38</v>
      </c>
      <c r="B74" s="5" t="s">
        <v>43</v>
      </c>
      <c r="C74" s="8">
        <v>2000.0</v>
      </c>
      <c r="D74" s="6"/>
    </row>
    <row r="75">
      <c r="A75" s="4" t="s">
        <v>38</v>
      </c>
      <c r="B75" s="5" t="s">
        <v>22</v>
      </c>
      <c r="C75" s="6"/>
      <c r="D75" s="6">
        <v>1000.0</v>
      </c>
    </row>
    <row r="76">
      <c r="A76" s="4" t="s">
        <v>38</v>
      </c>
      <c r="B76" s="5" t="s">
        <v>44</v>
      </c>
      <c r="C76" s="6"/>
      <c r="D76" s="6">
        <v>9500.0</v>
      </c>
    </row>
    <row r="77">
      <c r="A77" s="4" t="s">
        <v>45</v>
      </c>
      <c r="B77" s="5" t="s">
        <v>5</v>
      </c>
      <c r="C77" s="6">
        <v>72800.0</v>
      </c>
      <c r="D77" s="6"/>
    </row>
    <row r="78">
      <c r="A78" s="4" t="s">
        <v>45</v>
      </c>
      <c r="B78" s="5" t="s">
        <v>8</v>
      </c>
      <c r="C78" s="6"/>
      <c r="D78" s="6">
        <v>11000.0</v>
      </c>
    </row>
    <row r="79">
      <c r="A79" s="4" t="s">
        <v>45</v>
      </c>
      <c r="B79" s="5" t="s">
        <v>25</v>
      </c>
      <c r="C79" s="6"/>
      <c r="D79" s="6">
        <v>27500.0</v>
      </c>
    </row>
    <row r="80">
      <c r="A80" s="4" t="s">
        <v>45</v>
      </c>
      <c r="B80" s="5" t="s">
        <v>31</v>
      </c>
      <c r="C80" s="6"/>
      <c r="D80" s="6">
        <v>7530.0</v>
      </c>
    </row>
    <row r="81">
      <c r="A81" s="4" t="s">
        <v>45</v>
      </c>
      <c r="B81" s="5" t="s">
        <v>46</v>
      </c>
      <c r="C81" s="6"/>
      <c r="D81" s="6">
        <v>22199.0</v>
      </c>
    </row>
    <row r="82">
      <c r="A82" s="4" t="s">
        <v>45</v>
      </c>
      <c r="B82" s="5" t="s">
        <v>40</v>
      </c>
      <c r="C82" s="6"/>
      <c r="D82" s="6">
        <v>20000.0</v>
      </c>
    </row>
    <row r="83">
      <c r="A83" s="4" t="s">
        <v>45</v>
      </c>
      <c r="B83" s="5" t="s">
        <v>9</v>
      </c>
      <c r="C83" s="6"/>
      <c r="D83" s="6">
        <v>9965.0</v>
      </c>
    </row>
    <row r="84">
      <c r="A84" s="4" t="s">
        <v>45</v>
      </c>
      <c r="B84" s="5" t="s">
        <v>18</v>
      </c>
      <c r="C84" s="6"/>
      <c r="D84" s="6">
        <v>118.0</v>
      </c>
    </row>
    <row r="85">
      <c r="A85" s="4" t="s">
        <v>45</v>
      </c>
      <c r="B85" s="5" t="s">
        <v>11</v>
      </c>
      <c r="C85" s="6"/>
      <c r="D85" s="6">
        <v>1500.0</v>
      </c>
    </row>
    <row r="86">
      <c r="A86" s="4" t="s">
        <v>45</v>
      </c>
      <c r="B86" s="5" t="s">
        <v>12</v>
      </c>
      <c r="C86" s="6"/>
      <c r="D86" s="6">
        <v>500.0</v>
      </c>
    </row>
    <row r="87">
      <c r="A87" s="4" t="s">
        <v>45</v>
      </c>
      <c r="B87" s="5" t="s">
        <v>47</v>
      </c>
      <c r="C87" s="6"/>
      <c r="D87" s="6">
        <v>1770.0</v>
      </c>
    </row>
    <row r="88">
      <c r="A88" s="4" t="s">
        <v>48</v>
      </c>
      <c r="B88" s="5" t="s">
        <v>5</v>
      </c>
      <c r="C88" s="6">
        <v>59800.0</v>
      </c>
      <c r="D88" s="6"/>
    </row>
    <row r="89">
      <c r="A89" s="4" t="s">
        <v>48</v>
      </c>
      <c r="B89" s="5" t="s">
        <v>8</v>
      </c>
      <c r="C89" s="6"/>
      <c r="D89" s="6">
        <v>11000.0</v>
      </c>
    </row>
    <row r="90">
      <c r="A90" s="4" t="s">
        <v>48</v>
      </c>
      <c r="B90" s="5" t="s">
        <v>25</v>
      </c>
      <c r="C90" s="6"/>
      <c r="D90" s="6">
        <v>27500.0</v>
      </c>
    </row>
    <row r="91">
      <c r="A91" s="4" t="s">
        <v>48</v>
      </c>
      <c r="B91" s="5" t="s">
        <v>31</v>
      </c>
      <c r="C91" s="6"/>
      <c r="D91" s="6">
        <v>7794.0</v>
      </c>
    </row>
    <row r="92">
      <c r="A92" s="4" t="s">
        <v>48</v>
      </c>
      <c r="B92" s="5" t="s">
        <v>49</v>
      </c>
      <c r="C92" s="6"/>
      <c r="D92" s="6">
        <v>45000.0</v>
      </c>
    </row>
    <row r="93">
      <c r="A93" s="4" t="s">
        <v>48</v>
      </c>
      <c r="B93" s="5" t="s">
        <v>49</v>
      </c>
      <c r="C93" s="6"/>
      <c r="D93" s="6">
        <v>47000.0</v>
      </c>
    </row>
    <row r="94">
      <c r="A94" s="4" t="s">
        <v>48</v>
      </c>
      <c r="B94" s="5" t="s">
        <v>49</v>
      </c>
      <c r="C94" s="6"/>
      <c r="D94" s="6">
        <v>23000.0</v>
      </c>
    </row>
    <row r="95">
      <c r="A95" s="4" t="s">
        <v>48</v>
      </c>
      <c r="B95" s="5" t="s">
        <v>9</v>
      </c>
      <c r="C95" s="6"/>
      <c r="D95" s="6">
        <v>9684.0</v>
      </c>
    </row>
    <row r="96">
      <c r="A96" s="4" t="s">
        <v>48</v>
      </c>
      <c r="B96" s="5" t="s">
        <v>11</v>
      </c>
      <c r="C96" s="6"/>
      <c r="D96" s="6">
        <v>1500.0</v>
      </c>
    </row>
    <row r="97">
      <c r="A97" s="4" t="s">
        <v>48</v>
      </c>
      <c r="B97" s="5" t="s">
        <v>12</v>
      </c>
      <c r="C97" s="6"/>
      <c r="D97" s="6">
        <v>500.0</v>
      </c>
    </row>
    <row r="98">
      <c r="A98" s="4" t="s">
        <v>48</v>
      </c>
      <c r="B98" s="5" t="s">
        <v>50</v>
      </c>
      <c r="C98" s="6"/>
      <c r="D98" s="6">
        <v>2950.0</v>
      </c>
    </row>
    <row r="99">
      <c r="A99" s="4" t="s">
        <v>51</v>
      </c>
      <c r="B99" s="5" t="s">
        <v>5</v>
      </c>
      <c r="C99" s="8">
        <v>67600.0</v>
      </c>
      <c r="D99" s="6"/>
    </row>
    <row r="100">
      <c r="A100" s="4" t="s">
        <v>51</v>
      </c>
      <c r="B100" s="5" t="s">
        <v>8</v>
      </c>
      <c r="C100" s="6"/>
      <c r="D100" s="8">
        <v>13000.0</v>
      </c>
    </row>
    <row r="101">
      <c r="A101" s="4" t="s">
        <v>51</v>
      </c>
      <c r="B101" s="5" t="s">
        <v>25</v>
      </c>
      <c r="C101" s="6"/>
      <c r="D101" s="8">
        <v>27500.0</v>
      </c>
    </row>
    <row r="102">
      <c r="A102" s="4" t="s">
        <v>51</v>
      </c>
      <c r="B102" s="5" t="s">
        <v>31</v>
      </c>
      <c r="C102" s="6"/>
      <c r="D102" s="8">
        <v>7838.0</v>
      </c>
    </row>
    <row r="103">
      <c r="A103" s="4" t="s">
        <v>51</v>
      </c>
      <c r="B103" s="5" t="s">
        <v>9</v>
      </c>
      <c r="C103" s="6"/>
      <c r="D103" s="8">
        <v>9670.0</v>
      </c>
    </row>
    <row r="104">
      <c r="A104" s="4" t="s">
        <v>51</v>
      </c>
      <c r="B104" s="5" t="s">
        <v>11</v>
      </c>
      <c r="C104" s="6"/>
      <c r="D104" s="6">
        <v>1500.0</v>
      </c>
    </row>
    <row r="105">
      <c r="A105" s="4" t="s">
        <v>51</v>
      </c>
      <c r="B105" s="5" t="s">
        <v>12</v>
      </c>
      <c r="C105" s="6"/>
      <c r="D105" s="6">
        <v>500.0</v>
      </c>
    </row>
    <row r="106">
      <c r="A106" s="4" t="s">
        <v>51</v>
      </c>
      <c r="B106" s="9" t="s">
        <v>52</v>
      </c>
      <c r="C106" s="6"/>
      <c r="D106" s="8">
        <v>14775.0</v>
      </c>
    </row>
    <row r="107">
      <c r="A107" s="4" t="s">
        <v>51</v>
      </c>
      <c r="B107" s="9" t="s">
        <v>53</v>
      </c>
      <c r="C107" s="6"/>
      <c r="D107" s="8">
        <v>6000.0</v>
      </c>
    </row>
    <row r="108">
      <c r="A108" s="4" t="s">
        <v>54</v>
      </c>
      <c r="B108" s="5" t="s">
        <v>5</v>
      </c>
      <c r="C108" s="8">
        <f>72580-2380</f>
        <v>70200</v>
      </c>
      <c r="D108" s="6"/>
    </row>
    <row r="109">
      <c r="A109" s="4" t="s">
        <v>54</v>
      </c>
      <c r="B109" s="5" t="s">
        <v>8</v>
      </c>
      <c r="C109" s="6"/>
      <c r="D109" s="8">
        <v>15000.0</v>
      </c>
    </row>
    <row r="110">
      <c r="A110" s="4" t="s">
        <v>54</v>
      </c>
      <c r="B110" s="5" t="s">
        <v>25</v>
      </c>
      <c r="C110" s="6"/>
      <c r="D110" s="8">
        <v>27500.0</v>
      </c>
    </row>
    <row r="111">
      <c r="A111" s="4" t="s">
        <v>54</v>
      </c>
      <c r="B111" s="5" t="s">
        <v>9</v>
      </c>
      <c r="C111" s="6"/>
      <c r="D111" s="8">
        <v>9721.0</v>
      </c>
    </row>
    <row r="112">
      <c r="A112" s="4" t="s">
        <v>54</v>
      </c>
      <c r="B112" s="9" t="s">
        <v>55</v>
      </c>
      <c r="C112" s="6"/>
      <c r="D112" s="8">
        <v>600000.0</v>
      </c>
    </row>
    <row r="113">
      <c r="A113" s="4" t="s">
        <v>54</v>
      </c>
      <c r="B113" s="5" t="s">
        <v>11</v>
      </c>
      <c r="C113" s="6"/>
      <c r="D113" s="6">
        <v>1500.0</v>
      </c>
    </row>
    <row r="114">
      <c r="A114" s="4" t="s">
        <v>54</v>
      </c>
      <c r="B114" s="5" t="s">
        <v>12</v>
      </c>
      <c r="C114" s="6"/>
      <c r="D114" s="6">
        <v>500.0</v>
      </c>
    </row>
    <row r="115">
      <c r="A115" s="4" t="s">
        <v>54</v>
      </c>
      <c r="B115" s="9" t="s">
        <v>22</v>
      </c>
      <c r="C115" s="6"/>
      <c r="D115" s="8">
        <v>1000.0</v>
      </c>
    </row>
    <row r="116">
      <c r="A116" s="4" t="s">
        <v>54</v>
      </c>
      <c r="B116" s="9" t="s">
        <v>56</v>
      </c>
      <c r="C116" s="6"/>
      <c r="D116" s="8">
        <v>750.0</v>
      </c>
    </row>
    <row r="117">
      <c r="A117" s="4" t="s">
        <v>54</v>
      </c>
      <c r="B117" s="9" t="s">
        <v>57</v>
      </c>
      <c r="C117" s="6"/>
      <c r="D117" s="8">
        <v>5000.0</v>
      </c>
    </row>
    <row r="118">
      <c r="A118" s="4" t="s">
        <v>54</v>
      </c>
      <c r="B118" s="9" t="s">
        <v>58</v>
      </c>
      <c r="C118" s="6"/>
      <c r="D118" s="8">
        <v>8300.0</v>
      </c>
    </row>
    <row r="119">
      <c r="A119" s="4" t="s">
        <v>59</v>
      </c>
      <c r="B119" s="5" t="s">
        <v>5</v>
      </c>
      <c r="C119" s="8">
        <v>72800.0</v>
      </c>
      <c r="D119" s="6"/>
    </row>
    <row r="120">
      <c r="A120" s="4" t="s">
        <v>59</v>
      </c>
      <c r="B120" s="9" t="s">
        <v>60</v>
      </c>
      <c r="C120" s="8">
        <v>31698.0</v>
      </c>
      <c r="D120" s="6"/>
    </row>
    <row r="121">
      <c r="A121" s="4" t="s">
        <v>59</v>
      </c>
      <c r="B121" s="5" t="s">
        <v>8</v>
      </c>
      <c r="C121" s="6"/>
      <c r="D121" s="8">
        <v>15000.0</v>
      </c>
    </row>
    <row r="122">
      <c r="A122" s="4" t="s">
        <v>59</v>
      </c>
      <c r="B122" s="5" t="s">
        <v>25</v>
      </c>
      <c r="C122" s="6"/>
      <c r="D122" s="8">
        <v>27500.0</v>
      </c>
    </row>
    <row r="123">
      <c r="A123" s="4" t="s">
        <v>59</v>
      </c>
      <c r="B123" s="5" t="s">
        <v>9</v>
      </c>
      <c r="C123" s="6"/>
      <c r="D123" s="8">
        <v>9771.0</v>
      </c>
    </row>
    <row r="124">
      <c r="A124" s="4" t="s">
        <v>59</v>
      </c>
      <c r="B124" s="9" t="s">
        <v>31</v>
      </c>
      <c r="C124" s="6"/>
      <c r="D124" s="8">
        <v>7822.0</v>
      </c>
    </row>
    <row r="125">
      <c r="A125" s="4" t="s">
        <v>59</v>
      </c>
      <c r="B125" s="5" t="s">
        <v>11</v>
      </c>
      <c r="C125" s="6"/>
      <c r="D125" s="6">
        <v>1500.0</v>
      </c>
    </row>
    <row r="126">
      <c r="A126" s="4" t="s">
        <v>59</v>
      </c>
      <c r="B126" s="5" t="s">
        <v>12</v>
      </c>
      <c r="C126" s="6"/>
      <c r="D126" s="6">
        <v>500.0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66.71"/>
  </cols>
  <sheetData>
    <row r="1">
      <c r="A1" s="1" t="s">
        <v>61</v>
      </c>
      <c r="B1" s="2" t="s">
        <v>1</v>
      </c>
      <c r="C1" s="3" t="s">
        <v>2</v>
      </c>
      <c r="D1" s="3" t="s">
        <v>3</v>
      </c>
    </row>
    <row r="2">
      <c r="A2" s="4" t="s">
        <v>4</v>
      </c>
      <c r="B2" s="9" t="s">
        <v>62</v>
      </c>
      <c r="C2" s="6"/>
      <c r="D2" s="6">
        <v>500.0</v>
      </c>
    </row>
    <row r="3">
      <c r="A3" s="4" t="s">
        <v>16</v>
      </c>
      <c r="B3" s="9" t="s">
        <v>62</v>
      </c>
      <c r="C3" s="6"/>
      <c r="D3" s="6">
        <v>500.0</v>
      </c>
    </row>
    <row r="4">
      <c r="A4" s="4" t="s">
        <v>24</v>
      </c>
      <c r="B4" s="9" t="s">
        <v>62</v>
      </c>
      <c r="C4" s="6"/>
      <c r="D4" s="6">
        <v>500.0</v>
      </c>
    </row>
    <row r="5">
      <c r="A5" s="4" t="s">
        <v>27</v>
      </c>
      <c r="B5" s="9" t="s">
        <v>62</v>
      </c>
      <c r="C5" s="6"/>
      <c r="D5" s="6">
        <v>500.0</v>
      </c>
    </row>
    <row r="6">
      <c r="A6" s="4" t="s">
        <v>30</v>
      </c>
      <c r="B6" s="9" t="s">
        <v>62</v>
      </c>
      <c r="C6" s="6"/>
      <c r="D6" s="6">
        <v>500.0</v>
      </c>
    </row>
    <row r="7">
      <c r="A7" s="4" t="s">
        <v>34</v>
      </c>
      <c r="B7" s="9" t="s">
        <v>62</v>
      </c>
      <c r="C7" s="6"/>
      <c r="D7" s="6">
        <v>500.0</v>
      </c>
    </row>
    <row r="8">
      <c r="A8" s="4" t="s">
        <v>38</v>
      </c>
      <c r="B8" s="9" t="s">
        <v>62</v>
      </c>
      <c r="C8" s="6"/>
      <c r="D8" s="6">
        <v>500.0</v>
      </c>
    </row>
    <row r="9">
      <c r="A9" s="4" t="s">
        <v>45</v>
      </c>
      <c r="B9" s="9" t="s">
        <v>62</v>
      </c>
      <c r="C9" s="6"/>
      <c r="D9" s="6">
        <v>500.0</v>
      </c>
    </row>
    <row r="10">
      <c r="A10" s="4" t="s">
        <v>48</v>
      </c>
      <c r="B10" s="9" t="s">
        <v>62</v>
      </c>
      <c r="C10" s="6"/>
      <c r="D10" s="6">
        <v>500.0</v>
      </c>
    </row>
    <row r="11">
      <c r="A11" s="4" t="s">
        <v>51</v>
      </c>
      <c r="B11" s="9" t="s">
        <v>62</v>
      </c>
      <c r="C11" s="6"/>
      <c r="D11" s="6">
        <v>500.0</v>
      </c>
    </row>
    <row r="12">
      <c r="A12" s="4" t="s">
        <v>54</v>
      </c>
      <c r="B12" s="9" t="s">
        <v>62</v>
      </c>
      <c r="C12" s="6"/>
      <c r="D12" s="6">
        <v>500.0</v>
      </c>
    </row>
    <row r="13">
      <c r="A13" s="4" t="s">
        <v>4</v>
      </c>
      <c r="B13" s="9" t="s">
        <v>63</v>
      </c>
      <c r="C13" s="6"/>
      <c r="D13" s="6">
        <v>1200.0</v>
      </c>
    </row>
    <row r="14">
      <c r="A14" s="4" t="s">
        <v>4</v>
      </c>
      <c r="B14" s="9" t="s">
        <v>63</v>
      </c>
      <c r="C14" s="6"/>
      <c r="D14" s="6">
        <v>3500.0</v>
      </c>
    </row>
    <row r="15">
      <c r="A15" s="4" t="s">
        <v>16</v>
      </c>
      <c r="B15" s="5" t="s">
        <v>18</v>
      </c>
      <c r="C15" s="6"/>
      <c r="D15" s="6">
        <v>1180.0</v>
      </c>
    </row>
    <row r="16">
      <c r="A16" s="4" t="s">
        <v>24</v>
      </c>
      <c r="B16" s="5" t="s">
        <v>18</v>
      </c>
      <c r="C16" s="6"/>
      <c r="D16" s="6">
        <v>118.0</v>
      </c>
    </row>
    <row r="17">
      <c r="A17" s="4" t="s">
        <v>45</v>
      </c>
      <c r="B17" s="5" t="s">
        <v>18</v>
      </c>
      <c r="C17" s="6"/>
      <c r="D17" s="6">
        <v>118.0</v>
      </c>
    </row>
    <row r="18">
      <c r="A18" s="4" t="s">
        <v>4</v>
      </c>
      <c r="B18" s="9" t="s">
        <v>64</v>
      </c>
      <c r="C18" s="6"/>
      <c r="D18" s="6">
        <v>11495.0</v>
      </c>
    </row>
    <row r="19">
      <c r="A19" s="4" t="s">
        <v>16</v>
      </c>
      <c r="B19" s="9" t="s">
        <v>64</v>
      </c>
      <c r="C19" s="6"/>
      <c r="D19" s="6">
        <f>6930+2203+2255</f>
        <v>11388</v>
      </c>
    </row>
    <row r="20">
      <c r="A20" s="4" t="s">
        <v>24</v>
      </c>
      <c r="B20" s="9" t="s">
        <v>64</v>
      </c>
      <c r="C20" s="6"/>
      <c r="D20" s="6">
        <v>11683.0</v>
      </c>
    </row>
    <row r="21">
      <c r="A21" s="4" t="s">
        <v>27</v>
      </c>
      <c r="B21" s="9" t="s">
        <v>64</v>
      </c>
      <c r="C21" s="6"/>
      <c r="D21" s="6">
        <v>9042.0</v>
      </c>
    </row>
    <row r="22">
      <c r="A22" s="4" t="s">
        <v>30</v>
      </c>
      <c r="B22" s="9" t="s">
        <v>64</v>
      </c>
      <c r="C22" s="6"/>
      <c r="D22" s="6">
        <v>10609.0</v>
      </c>
    </row>
    <row r="23">
      <c r="A23" s="4" t="s">
        <v>34</v>
      </c>
      <c r="B23" s="9" t="s">
        <v>64</v>
      </c>
      <c r="C23" s="6"/>
      <c r="D23" s="6">
        <v>10328.0</v>
      </c>
    </row>
    <row r="24">
      <c r="A24" s="4" t="s">
        <v>38</v>
      </c>
      <c r="B24" s="9" t="s">
        <v>64</v>
      </c>
      <c r="C24" s="7"/>
      <c r="D24" s="6">
        <v>9635.0</v>
      </c>
    </row>
    <row r="25">
      <c r="A25" s="4" t="s">
        <v>45</v>
      </c>
      <c r="B25" s="9" t="s">
        <v>64</v>
      </c>
      <c r="C25" s="6"/>
      <c r="D25" s="6">
        <v>9965.0</v>
      </c>
    </row>
    <row r="26">
      <c r="A26" s="4" t="s">
        <v>48</v>
      </c>
      <c r="B26" s="9" t="s">
        <v>64</v>
      </c>
      <c r="C26" s="6"/>
      <c r="D26" s="6">
        <v>9684.0</v>
      </c>
    </row>
    <row r="27">
      <c r="A27" s="4" t="s">
        <v>51</v>
      </c>
      <c r="B27" s="9" t="s">
        <v>64</v>
      </c>
      <c r="C27" s="6"/>
      <c r="D27" s="8">
        <v>9670.0</v>
      </c>
    </row>
    <row r="28">
      <c r="A28" s="4" t="s">
        <v>54</v>
      </c>
      <c r="B28" s="9" t="s">
        <v>64</v>
      </c>
      <c r="C28" s="6"/>
      <c r="D28" s="8">
        <v>9721.0</v>
      </c>
    </row>
    <row r="29">
      <c r="A29" s="4" t="s">
        <v>30</v>
      </c>
      <c r="B29" s="9" t="s">
        <v>65</v>
      </c>
      <c r="C29" s="6"/>
      <c r="D29" s="6">
        <v>8024.0</v>
      </c>
    </row>
    <row r="30">
      <c r="A30" s="4" t="s">
        <v>34</v>
      </c>
      <c r="B30" s="9" t="s">
        <v>65</v>
      </c>
      <c r="C30" s="6"/>
      <c r="D30" s="6">
        <v>15000.0</v>
      </c>
    </row>
    <row r="31">
      <c r="A31" s="4" t="s">
        <v>38</v>
      </c>
      <c r="B31" s="9" t="s">
        <v>65</v>
      </c>
      <c r="C31" s="6"/>
      <c r="D31" s="6">
        <v>15680.0</v>
      </c>
    </row>
    <row r="32">
      <c r="A32" s="4" t="s">
        <v>45</v>
      </c>
      <c r="B32" s="9" t="s">
        <v>65</v>
      </c>
      <c r="C32" s="6"/>
      <c r="D32" s="6">
        <v>22199.0</v>
      </c>
    </row>
    <row r="33">
      <c r="A33" s="4" t="s">
        <v>16</v>
      </c>
      <c r="B33" s="9" t="s">
        <v>65</v>
      </c>
      <c r="C33" s="6"/>
      <c r="D33" s="6">
        <v>22199.0</v>
      </c>
    </row>
    <row r="34">
      <c r="A34" s="4" t="s">
        <v>45</v>
      </c>
      <c r="B34" s="9" t="s">
        <v>65</v>
      </c>
      <c r="C34" s="6"/>
      <c r="D34" s="6">
        <v>1770.0</v>
      </c>
    </row>
    <row r="35">
      <c r="A35" s="4" t="s">
        <v>38</v>
      </c>
      <c r="B35" s="9" t="s">
        <v>66</v>
      </c>
      <c r="C35" s="6"/>
      <c r="D35" s="6">
        <v>11210.0</v>
      </c>
    </row>
    <row r="36">
      <c r="A36" s="4" t="s">
        <v>4</v>
      </c>
      <c r="B36" s="9" t="s">
        <v>66</v>
      </c>
      <c r="C36" s="6"/>
      <c r="D36" s="6">
        <v>3000.0</v>
      </c>
    </row>
    <row r="37">
      <c r="A37" s="4" t="s">
        <v>30</v>
      </c>
      <c r="B37" s="5" t="s">
        <v>31</v>
      </c>
      <c r="C37" s="6"/>
      <c r="D37" s="6">
        <v>7486.0</v>
      </c>
    </row>
    <row r="38">
      <c r="A38" s="4" t="s">
        <v>34</v>
      </c>
      <c r="B38" s="5" t="s">
        <v>31</v>
      </c>
      <c r="C38" s="6"/>
      <c r="D38" s="6">
        <v>7457.0</v>
      </c>
    </row>
    <row r="39">
      <c r="A39" s="4" t="s">
        <v>38</v>
      </c>
      <c r="B39" s="5" t="s">
        <v>31</v>
      </c>
      <c r="C39" s="6"/>
      <c r="D39" s="6">
        <v>7850.0</v>
      </c>
    </row>
    <row r="40">
      <c r="A40" s="4" t="s">
        <v>45</v>
      </c>
      <c r="B40" s="5" t="s">
        <v>31</v>
      </c>
      <c r="C40" s="6"/>
      <c r="D40" s="6">
        <v>7530.0</v>
      </c>
    </row>
    <row r="41">
      <c r="A41" s="4" t="s">
        <v>48</v>
      </c>
      <c r="B41" s="5" t="s">
        <v>31</v>
      </c>
      <c r="C41" s="6"/>
      <c r="D41" s="6">
        <v>7794.0</v>
      </c>
    </row>
    <row r="42">
      <c r="A42" s="4" t="s">
        <v>51</v>
      </c>
      <c r="B42" s="5" t="s">
        <v>31</v>
      </c>
      <c r="C42" s="6"/>
      <c r="D42" s="8">
        <v>7838.0</v>
      </c>
    </row>
    <row r="43">
      <c r="A43" s="4" t="s">
        <v>24</v>
      </c>
      <c r="B43" s="9" t="s">
        <v>31</v>
      </c>
      <c r="C43" s="6"/>
      <c r="D43" s="6">
        <v>6980.0</v>
      </c>
    </row>
    <row r="44">
      <c r="A44" s="4" t="s">
        <v>54</v>
      </c>
      <c r="B44" s="9" t="s">
        <v>31</v>
      </c>
      <c r="C44" s="6"/>
      <c r="D44" s="8">
        <v>8300.0</v>
      </c>
    </row>
    <row r="45">
      <c r="A45" s="4" t="s">
        <v>4</v>
      </c>
      <c r="B45" s="9" t="s">
        <v>31</v>
      </c>
      <c r="C45" s="6"/>
      <c r="D45" s="6">
        <v>7750.0</v>
      </c>
    </row>
    <row r="46">
      <c r="A46" s="4" t="s">
        <v>16</v>
      </c>
      <c r="B46" s="9" t="s">
        <v>31</v>
      </c>
      <c r="C46" s="6"/>
      <c r="D46" s="6">
        <v>6826.0</v>
      </c>
    </row>
    <row r="47">
      <c r="A47" s="4" t="s">
        <v>27</v>
      </c>
      <c r="B47" s="9" t="s">
        <v>31</v>
      </c>
      <c r="C47" s="6"/>
      <c r="D47" s="6">
        <v>7178.0</v>
      </c>
    </row>
    <row r="48">
      <c r="A48" s="4" t="s">
        <v>54</v>
      </c>
      <c r="B48" s="9" t="s">
        <v>56</v>
      </c>
      <c r="C48" s="6"/>
      <c r="D48" s="8">
        <v>750.0</v>
      </c>
    </row>
    <row r="49">
      <c r="A49" s="4" t="s">
        <v>54</v>
      </c>
      <c r="B49" s="9" t="s">
        <v>57</v>
      </c>
      <c r="C49" s="6"/>
      <c r="D49" s="8">
        <v>5000.0</v>
      </c>
    </row>
    <row r="50">
      <c r="A50" s="4" t="s">
        <v>30</v>
      </c>
      <c r="B50" s="5" t="s">
        <v>33</v>
      </c>
      <c r="C50" s="6"/>
      <c r="D50" s="6">
        <v>485.0</v>
      </c>
    </row>
    <row r="51">
      <c r="A51" s="4" t="s">
        <v>4</v>
      </c>
      <c r="B51" s="5" t="s">
        <v>5</v>
      </c>
      <c r="C51" s="6">
        <v>5885.0</v>
      </c>
      <c r="D51" s="6"/>
    </row>
    <row r="52">
      <c r="A52" s="4" t="s">
        <v>16</v>
      </c>
      <c r="B52" s="5" t="s">
        <v>22</v>
      </c>
      <c r="C52" s="6"/>
      <c r="D52" s="6">
        <v>1000.0</v>
      </c>
    </row>
    <row r="53">
      <c r="A53" s="4" t="s">
        <v>27</v>
      </c>
      <c r="B53" s="5" t="s">
        <v>22</v>
      </c>
      <c r="C53" s="6"/>
      <c r="D53" s="6">
        <v>1000.0</v>
      </c>
    </row>
    <row r="54">
      <c r="A54" s="4" t="s">
        <v>38</v>
      </c>
      <c r="B54" s="5" t="s">
        <v>22</v>
      </c>
      <c r="C54" s="6"/>
      <c r="D54" s="6">
        <v>1000.0</v>
      </c>
    </row>
    <row r="55">
      <c r="A55" s="4" t="s">
        <v>54</v>
      </c>
      <c r="B55" s="9" t="s">
        <v>22</v>
      </c>
      <c r="C55" s="6"/>
      <c r="D55" s="8">
        <v>1000.0</v>
      </c>
    </row>
    <row r="56">
      <c r="A56" s="4" t="s">
        <v>34</v>
      </c>
      <c r="B56" s="9" t="s">
        <v>22</v>
      </c>
      <c r="C56" s="6"/>
      <c r="D56" s="6">
        <v>1000.0</v>
      </c>
    </row>
    <row r="57">
      <c r="A57" s="4" t="s">
        <v>51</v>
      </c>
      <c r="B57" s="9" t="s">
        <v>53</v>
      </c>
      <c r="C57" s="6"/>
      <c r="D57" s="8">
        <v>6000.0</v>
      </c>
    </row>
    <row r="58">
      <c r="A58" s="4" t="s">
        <v>48</v>
      </c>
      <c r="B58" s="5" t="s">
        <v>50</v>
      </c>
      <c r="C58" s="6"/>
      <c r="D58" s="6">
        <v>2950.0</v>
      </c>
    </row>
    <row r="59">
      <c r="A59" s="4" t="s">
        <v>48</v>
      </c>
      <c r="B59" s="5" t="s">
        <v>50</v>
      </c>
      <c r="C59" s="6"/>
      <c r="D59" s="6">
        <v>45000.0</v>
      </c>
    </row>
    <row r="60">
      <c r="A60" s="4" t="s">
        <v>48</v>
      </c>
      <c r="B60" s="5" t="s">
        <v>50</v>
      </c>
      <c r="C60" s="6"/>
      <c r="D60" s="6">
        <v>47000.0</v>
      </c>
    </row>
    <row r="61">
      <c r="A61" s="4" t="s">
        <v>48</v>
      </c>
      <c r="B61" s="5" t="s">
        <v>50</v>
      </c>
      <c r="C61" s="6"/>
      <c r="D61" s="6">
        <v>23000.0</v>
      </c>
    </row>
    <row r="62">
      <c r="A62" s="4" t="s">
        <v>38</v>
      </c>
      <c r="B62" s="9" t="s">
        <v>67</v>
      </c>
      <c r="C62" s="6"/>
      <c r="D62" s="6">
        <v>9649.0</v>
      </c>
    </row>
    <row r="63">
      <c r="A63" s="4" t="s">
        <v>27</v>
      </c>
      <c r="B63" s="5" t="s">
        <v>29</v>
      </c>
      <c r="C63" s="6"/>
      <c r="D63" s="6">
        <v>3000.0</v>
      </c>
    </row>
    <row r="64">
      <c r="A64" s="4" t="s">
        <v>4</v>
      </c>
      <c r="B64" s="9" t="s">
        <v>68</v>
      </c>
      <c r="C64" s="6"/>
      <c r="D64" s="6">
        <v>10000.0</v>
      </c>
    </row>
    <row r="65">
      <c r="A65" s="4" t="s">
        <v>16</v>
      </c>
      <c r="B65" s="9" t="s">
        <v>68</v>
      </c>
      <c r="C65" s="6"/>
      <c r="D65" s="6">
        <v>11000.0</v>
      </c>
    </row>
    <row r="66">
      <c r="A66" s="4" t="s">
        <v>24</v>
      </c>
      <c r="B66" s="9" t="s">
        <v>68</v>
      </c>
      <c r="C66" s="6"/>
      <c r="D66" s="6">
        <v>11000.0</v>
      </c>
    </row>
    <row r="67">
      <c r="A67" s="4" t="s">
        <v>27</v>
      </c>
      <c r="B67" s="9" t="s">
        <v>68</v>
      </c>
      <c r="C67" s="6"/>
      <c r="D67" s="6">
        <v>11000.0</v>
      </c>
    </row>
    <row r="68">
      <c r="A68" s="4" t="s">
        <v>30</v>
      </c>
      <c r="B68" s="9" t="s">
        <v>68</v>
      </c>
      <c r="C68" s="6"/>
      <c r="D68" s="6">
        <v>11000.0</v>
      </c>
    </row>
    <row r="69">
      <c r="A69" s="4" t="s">
        <v>34</v>
      </c>
      <c r="B69" s="9" t="s">
        <v>68</v>
      </c>
      <c r="C69" s="6"/>
      <c r="D69" s="6">
        <v>11000.0</v>
      </c>
    </row>
    <row r="70">
      <c r="A70" s="4" t="s">
        <v>38</v>
      </c>
      <c r="B70" s="9" t="s">
        <v>68</v>
      </c>
      <c r="C70" s="6"/>
      <c r="D70" s="6">
        <v>11000.0</v>
      </c>
    </row>
    <row r="71">
      <c r="A71" s="4" t="s">
        <v>45</v>
      </c>
      <c r="B71" s="9" t="s">
        <v>68</v>
      </c>
      <c r="C71" s="6"/>
      <c r="D71" s="6">
        <v>11000.0</v>
      </c>
    </row>
    <row r="72">
      <c r="A72" s="4" t="s">
        <v>48</v>
      </c>
      <c r="B72" s="9" t="s">
        <v>68</v>
      </c>
      <c r="C72" s="6"/>
      <c r="D72" s="6">
        <v>11000.0</v>
      </c>
    </row>
    <row r="73">
      <c r="A73" s="4" t="s">
        <v>51</v>
      </c>
      <c r="B73" s="9" t="s">
        <v>68</v>
      </c>
      <c r="C73" s="6"/>
      <c r="D73" s="8">
        <v>13000.0</v>
      </c>
    </row>
    <row r="74">
      <c r="A74" s="4" t="s">
        <v>54</v>
      </c>
      <c r="B74" s="9" t="s">
        <v>68</v>
      </c>
      <c r="C74" s="6"/>
      <c r="D74" s="8">
        <v>15000.0</v>
      </c>
    </row>
    <row r="75">
      <c r="A75" s="4" t="s">
        <v>4</v>
      </c>
      <c r="B75" s="5" t="s">
        <v>5</v>
      </c>
      <c r="C75" s="6">
        <v>130000.0</v>
      </c>
      <c r="D75" s="6"/>
    </row>
    <row r="76">
      <c r="A76" s="4" t="s">
        <v>16</v>
      </c>
      <c r="B76" s="5" t="s">
        <v>5</v>
      </c>
      <c r="C76" s="6">
        <v>65000.0</v>
      </c>
      <c r="D76" s="6"/>
    </row>
    <row r="77">
      <c r="A77" s="4" t="s">
        <v>24</v>
      </c>
      <c r="B77" s="5" t="s">
        <v>5</v>
      </c>
      <c r="C77" s="6">
        <v>96200.0</v>
      </c>
      <c r="D77" s="6"/>
    </row>
    <row r="78">
      <c r="A78" s="4" t="s">
        <v>27</v>
      </c>
      <c r="B78" s="5" t="s">
        <v>5</v>
      </c>
      <c r="C78" s="6">
        <v>80600.0</v>
      </c>
      <c r="D78" s="6"/>
    </row>
    <row r="79">
      <c r="A79" s="4" t="s">
        <v>30</v>
      </c>
      <c r="B79" s="5" t="s">
        <v>5</v>
      </c>
      <c r="C79" s="6">
        <v>65000.0</v>
      </c>
      <c r="D79" s="6"/>
    </row>
    <row r="80">
      <c r="A80" s="4" t="s">
        <v>34</v>
      </c>
      <c r="B80" s="5" t="s">
        <v>5</v>
      </c>
      <c r="C80" s="6">
        <v>72800.0</v>
      </c>
      <c r="D80" s="6"/>
    </row>
    <row r="81">
      <c r="A81" s="4" t="s">
        <v>38</v>
      </c>
      <c r="B81" s="5" t="s">
        <v>5</v>
      </c>
      <c r="C81" s="6">
        <v>72800.0</v>
      </c>
      <c r="D81" s="6"/>
    </row>
    <row r="82">
      <c r="A82" s="4" t="s">
        <v>45</v>
      </c>
      <c r="B82" s="5" t="s">
        <v>5</v>
      </c>
      <c r="C82" s="6">
        <v>72800.0</v>
      </c>
      <c r="D82" s="6"/>
    </row>
    <row r="83">
      <c r="A83" s="4" t="s">
        <v>48</v>
      </c>
      <c r="B83" s="5" t="s">
        <v>5</v>
      </c>
      <c r="C83" s="6">
        <v>59800.0</v>
      </c>
      <c r="D83" s="6"/>
    </row>
    <row r="84">
      <c r="A84" s="4" t="s">
        <v>51</v>
      </c>
      <c r="B84" s="5" t="s">
        <v>5</v>
      </c>
      <c r="C84" s="8">
        <v>67600.0</v>
      </c>
      <c r="D84" s="6"/>
    </row>
    <row r="85">
      <c r="A85" s="4" t="s">
        <v>54</v>
      </c>
      <c r="B85" s="5" t="s">
        <v>5</v>
      </c>
      <c r="C85" s="8">
        <f>72580-2380</f>
        <v>70200</v>
      </c>
      <c r="D85" s="6"/>
    </row>
    <row r="86">
      <c r="A86" s="4" t="s">
        <v>34</v>
      </c>
      <c r="B86" s="5" t="s">
        <v>36</v>
      </c>
      <c r="C86" s="6"/>
      <c r="D86" s="6">
        <v>400.0</v>
      </c>
    </row>
    <row r="87">
      <c r="A87" s="4" t="s">
        <v>16</v>
      </c>
      <c r="B87" s="9" t="s">
        <v>69</v>
      </c>
      <c r="C87" s="6"/>
      <c r="D87" s="6">
        <v>150000.0</v>
      </c>
    </row>
    <row r="88">
      <c r="A88" s="4" t="s">
        <v>16</v>
      </c>
      <c r="B88" s="9" t="s">
        <v>70</v>
      </c>
      <c r="C88" s="6"/>
      <c r="D88" s="6">
        <v>2835.0</v>
      </c>
    </row>
    <row r="89">
      <c r="A89" s="4" t="s">
        <v>16</v>
      </c>
      <c r="B89" s="9" t="s">
        <v>70</v>
      </c>
      <c r="C89" s="6"/>
      <c r="D89" s="6">
        <v>10000.0</v>
      </c>
    </row>
    <row r="90">
      <c r="A90" s="4" t="s">
        <v>38</v>
      </c>
      <c r="B90" s="9" t="s">
        <v>70</v>
      </c>
      <c r="C90" s="6"/>
      <c r="D90" s="6">
        <v>9500.0</v>
      </c>
    </row>
    <row r="91">
      <c r="A91" s="4" t="s">
        <v>51</v>
      </c>
      <c r="B91" s="9" t="s">
        <v>52</v>
      </c>
      <c r="C91" s="6"/>
      <c r="D91" s="8">
        <v>14775.0</v>
      </c>
    </row>
    <row r="92">
      <c r="A92" s="4" t="s">
        <v>38</v>
      </c>
      <c r="B92" s="5" t="s">
        <v>43</v>
      </c>
      <c r="C92" s="8">
        <v>2000.0</v>
      </c>
      <c r="D92" s="6"/>
    </row>
    <row r="93">
      <c r="A93" s="4" t="s">
        <v>24</v>
      </c>
      <c r="B93" s="9" t="s">
        <v>17</v>
      </c>
      <c r="C93" s="6"/>
      <c r="D93" s="6">
        <v>27500.0</v>
      </c>
    </row>
    <row r="94">
      <c r="A94" s="4" t="s">
        <v>27</v>
      </c>
      <c r="B94" s="9" t="s">
        <v>17</v>
      </c>
      <c r="C94" s="6"/>
      <c r="D94" s="6">
        <v>27500.0</v>
      </c>
    </row>
    <row r="95">
      <c r="A95" s="4" t="s">
        <v>30</v>
      </c>
      <c r="B95" s="9" t="s">
        <v>17</v>
      </c>
      <c r="C95" s="6"/>
      <c r="D95" s="6">
        <v>27500.0</v>
      </c>
    </row>
    <row r="96">
      <c r="A96" s="4" t="s">
        <v>34</v>
      </c>
      <c r="B96" s="9" t="s">
        <v>17</v>
      </c>
      <c r="C96" s="6"/>
      <c r="D96" s="6">
        <v>27500.0</v>
      </c>
    </row>
    <row r="97">
      <c r="A97" s="4" t="s">
        <v>38</v>
      </c>
      <c r="B97" s="9" t="s">
        <v>17</v>
      </c>
      <c r="C97" s="6"/>
      <c r="D97" s="6">
        <v>27500.0</v>
      </c>
    </row>
    <row r="98">
      <c r="A98" s="4" t="s">
        <v>45</v>
      </c>
      <c r="B98" s="9" t="s">
        <v>17</v>
      </c>
      <c r="C98" s="6"/>
      <c r="D98" s="6">
        <v>27500.0</v>
      </c>
    </row>
    <row r="99">
      <c r="A99" s="4" t="s">
        <v>48</v>
      </c>
      <c r="B99" s="9" t="s">
        <v>17</v>
      </c>
      <c r="C99" s="6"/>
      <c r="D99" s="6">
        <v>27500.0</v>
      </c>
    </row>
    <row r="100">
      <c r="A100" s="4" t="s">
        <v>51</v>
      </c>
      <c r="B100" s="9" t="s">
        <v>17</v>
      </c>
      <c r="C100" s="6"/>
      <c r="D100" s="8">
        <v>27500.0</v>
      </c>
    </row>
    <row r="101">
      <c r="A101" s="4" t="s">
        <v>54</v>
      </c>
      <c r="B101" s="9" t="s">
        <v>17</v>
      </c>
      <c r="C101" s="6"/>
      <c r="D101" s="8">
        <v>27500.0</v>
      </c>
    </row>
    <row r="102">
      <c r="A102" s="4" t="s">
        <v>4</v>
      </c>
      <c r="B102" s="9" t="s">
        <v>17</v>
      </c>
      <c r="C102" s="6"/>
      <c r="D102" s="6">
        <v>27500.0</v>
      </c>
    </row>
    <row r="103">
      <c r="A103" s="4" t="s">
        <v>16</v>
      </c>
      <c r="B103" s="9" t="s">
        <v>17</v>
      </c>
      <c r="C103" s="6"/>
      <c r="D103" s="6">
        <v>27500.0</v>
      </c>
    </row>
    <row r="104">
      <c r="A104" s="4" t="s">
        <v>27</v>
      </c>
      <c r="B104" s="5" t="s">
        <v>28</v>
      </c>
      <c r="C104" s="6"/>
      <c r="D104" s="6">
        <v>4350.0</v>
      </c>
    </row>
    <row r="105">
      <c r="A105" s="4" t="s">
        <v>4</v>
      </c>
      <c r="B105" s="9" t="s">
        <v>71</v>
      </c>
      <c r="C105" s="6"/>
      <c r="D105" s="6">
        <v>1500.0</v>
      </c>
    </row>
    <row r="106">
      <c r="A106" s="4" t="s">
        <v>16</v>
      </c>
      <c r="B106" s="9" t="s">
        <v>71</v>
      </c>
      <c r="C106" s="6"/>
      <c r="D106" s="6">
        <v>1500.0</v>
      </c>
    </row>
    <row r="107">
      <c r="A107" s="4" t="s">
        <v>24</v>
      </c>
      <c r="B107" s="9" t="s">
        <v>71</v>
      </c>
      <c r="C107" s="6"/>
      <c r="D107" s="6">
        <v>1500.0</v>
      </c>
    </row>
    <row r="108">
      <c r="A108" s="4" t="s">
        <v>27</v>
      </c>
      <c r="B108" s="9" t="s">
        <v>71</v>
      </c>
      <c r="C108" s="6"/>
      <c r="D108" s="6">
        <v>1500.0</v>
      </c>
    </row>
    <row r="109">
      <c r="A109" s="4" t="s">
        <v>30</v>
      </c>
      <c r="B109" s="9" t="s">
        <v>71</v>
      </c>
      <c r="C109" s="6"/>
      <c r="D109" s="6">
        <v>1500.0</v>
      </c>
    </row>
    <row r="110">
      <c r="A110" s="4" t="s">
        <v>34</v>
      </c>
      <c r="B110" s="9" t="s">
        <v>71</v>
      </c>
      <c r="C110" s="6"/>
      <c r="D110" s="6">
        <v>1500.0</v>
      </c>
    </row>
    <row r="111">
      <c r="A111" s="4" t="s">
        <v>38</v>
      </c>
      <c r="B111" s="9" t="s">
        <v>71</v>
      </c>
      <c r="C111" s="6"/>
      <c r="D111" s="6">
        <v>1500.0</v>
      </c>
    </row>
    <row r="112">
      <c r="A112" s="4" t="s">
        <v>45</v>
      </c>
      <c r="B112" s="9" t="s">
        <v>71</v>
      </c>
      <c r="C112" s="6"/>
      <c r="D112" s="6">
        <v>1500.0</v>
      </c>
    </row>
    <row r="113">
      <c r="A113" s="4" t="s">
        <v>48</v>
      </c>
      <c r="B113" s="9" t="s">
        <v>71</v>
      </c>
      <c r="C113" s="6"/>
      <c r="D113" s="6">
        <v>1500.0</v>
      </c>
    </row>
    <row r="114">
      <c r="A114" s="4" t="s">
        <v>51</v>
      </c>
      <c r="B114" s="9" t="s">
        <v>71</v>
      </c>
      <c r="C114" s="6"/>
      <c r="D114" s="6">
        <v>1500.0</v>
      </c>
    </row>
    <row r="115">
      <c r="A115" s="4" t="s">
        <v>54</v>
      </c>
      <c r="B115" s="9" t="s">
        <v>71</v>
      </c>
      <c r="C115" s="6"/>
      <c r="D115" s="6">
        <v>1500.0</v>
      </c>
    </row>
    <row r="116">
      <c r="A116" s="4" t="s">
        <v>59</v>
      </c>
      <c r="B116" s="5" t="s">
        <v>5</v>
      </c>
      <c r="C116" s="8">
        <v>72800.0</v>
      </c>
      <c r="D116" s="6"/>
    </row>
    <row r="117">
      <c r="A117" s="4" t="s">
        <v>59</v>
      </c>
      <c r="B117" s="9" t="s">
        <v>60</v>
      </c>
      <c r="C117" s="8">
        <v>31698.0</v>
      </c>
      <c r="D117" s="6"/>
    </row>
    <row r="118">
      <c r="A118" s="4" t="s">
        <v>59</v>
      </c>
      <c r="B118" s="9" t="s">
        <v>68</v>
      </c>
      <c r="C118" s="6"/>
      <c r="D118" s="8">
        <v>15000.0</v>
      </c>
    </row>
    <row r="119">
      <c r="A119" s="4" t="s">
        <v>59</v>
      </c>
      <c r="B119" s="9" t="s">
        <v>17</v>
      </c>
      <c r="C119" s="6"/>
      <c r="D119" s="8">
        <v>27500.0</v>
      </c>
    </row>
    <row r="120">
      <c r="A120" s="4" t="s">
        <v>59</v>
      </c>
      <c r="B120" s="9" t="s">
        <v>64</v>
      </c>
      <c r="C120" s="6"/>
      <c r="D120" s="8">
        <v>9771.0</v>
      </c>
    </row>
    <row r="121">
      <c r="A121" s="4" t="s">
        <v>59</v>
      </c>
      <c r="B121" s="9" t="s">
        <v>31</v>
      </c>
      <c r="C121" s="6"/>
      <c r="D121" s="8">
        <v>7822.0</v>
      </c>
    </row>
    <row r="122">
      <c r="A122" s="4" t="s">
        <v>59</v>
      </c>
      <c r="B122" s="9" t="s">
        <v>71</v>
      </c>
      <c r="C122" s="6"/>
      <c r="D122" s="6">
        <v>1500.0</v>
      </c>
    </row>
    <row r="123">
      <c r="A123" s="4" t="s">
        <v>59</v>
      </c>
      <c r="B123" s="9" t="s">
        <v>62</v>
      </c>
      <c r="C123" s="6"/>
      <c r="D123" s="6">
        <v>500.0</v>
      </c>
    </row>
  </sheetData>
  <autoFilter ref="$A$1:$Z$123">
    <sortState ref="A1:Z123">
      <sortCondition ref="B1:B123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6.57"/>
    <col customWidth="1" min="2" max="2" width="27.29"/>
    <col customWidth="1" min="3" max="3" width="21.57"/>
  </cols>
  <sheetData>
    <row r="1">
      <c r="A1" s="10" t="s">
        <v>72</v>
      </c>
      <c r="B1" s="11" t="s">
        <v>61</v>
      </c>
      <c r="C1" s="11" t="s">
        <v>73</v>
      </c>
      <c r="D1" s="11" t="s">
        <v>74</v>
      </c>
    </row>
    <row r="2" hidden="1">
      <c r="B2" s="11"/>
      <c r="C2" s="11">
        <v>0.0</v>
      </c>
      <c r="D2" s="11">
        <v>0.0</v>
      </c>
    </row>
    <row r="3">
      <c r="A3" s="10">
        <v>4.0</v>
      </c>
      <c r="B3" s="11" t="s">
        <v>4</v>
      </c>
      <c r="C3" s="12">
        <v>135885.0</v>
      </c>
      <c r="D3" s="12">
        <v>66445.0</v>
      </c>
    </row>
    <row r="4">
      <c r="A4" s="10">
        <v>8.0</v>
      </c>
      <c r="B4" s="11" t="s">
        <v>30</v>
      </c>
      <c r="C4" s="12">
        <v>65000.0</v>
      </c>
      <c r="D4" s="12">
        <v>67104.0</v>
      </c>
    </row>
    <row r="5">
      <c r="A5" s="10">
        <v>12.0</v>
      </c>
      <c r="B5" s="11" t="s">
        <v>48</v>
      </c>
      <c r="C5" s="12">
        <v>59800.0</v>
      </c>
      <c r="D5" s="12">
        <v>175928.0</v>
      </c>
    </row>
    <row r="6">
      <c r="A6" s="10">
        <v>2.0</v>
      </c>
      <c r="B6" s="11" t="s">
        <v>54</v>
      </c>
      <c r="C6" s="12">
        <v>70200.0</v>
      </c>
      <c r="D6" s="12">
        <v>69271.0</v>
      </c>
    </row>
    <row r="7">
      <c r="A7" s="10">
        <v>1.0</v>
      </c>
      <c r="B7" s="11" t="s">
        <v>51</v>
      </c>
      <c r="C7" s="12">
        <v>67600.0</v>
      </c>
      <c r="D7" s="12">
        <v>80783.0</v>
      </c>
    </row>
    <row r="8">
      <c r="A8" s="10">
        <v>7.0</v>
      </c>
      <c r="B8" s="11" t="s">
        <v>27</v>
      </c>
      <c r="C8" s="12">
        <v>80600.0</v>
      </c>
      <c r="D8" s="12">
        <v>65070.0</v>
      </c>
    </row>
    <row r="9">
      <c r="A9" s="10">
        <v>6.0</v>
      </c>
      <c r="B9" s="11" t="s">
        <v>24</v>
      </c>
      <c r="C9" s="12">
        <v>96200.0</v>
      </c>
      <c r="D9" s="12">
        <v>59281.0</v>
      </c>
    </row>
    <row r="10">
      <c r="A10" s="10">
        <v>3.0</v>
      </c>
      <c r="B10" s="11" t="s">
        <v>59</v>
      </c>
      <c r="C10" s="12">
        <v>104498.0</v>
      </c>
      <c r="D10" s="12">
        <v>62093.0</v>
      </c>
    </row>
    <row r="11">
      <c r="A11" s="10">
        <v>5.0</v>
      </c>
      <c r="B11" s="11" t="s">
        <v>16</v>
      </c>
      <c r="C11" s="12">
        <v>65000.0</v>
      </c>
      <c r="D11" s="12">
        <v>245928.0</v>
      </c>
    </row>
    <row r="12">
      <c r="A12" s="10">
        <v>11.0</v>
      </c>
      <c r="B12" s="11" t="s">
        <v>45</v>
      </c>
      <c r="C12" s="12">
        <v>72800.0</v>
      </c>
      <c r="D12" s="12">
        <v>82082.0</v>
      </c>
    </row>
    <row r="13">
      <c r="A13" s="10">
        <v>10.0</v>
      </c>
      <c r="B13" s="11" t="s">
        <v>38</v>
      </c>
      <c r="C13" s="12">
        <v>74800.0</v>
      </c>
      <c r="D13" s="12">
        <v>105024.0</v>
      </c>
    </row>
    <row r="14">
      <c r="A14" s="10">
        <v>9.0</v>
      </c>
      <c r="B14" s="11" t="s">
        <v>34</v>
      </c>
      <c r="C14" s="12">
        <v>72800.0</v>
      </c>
      <c r="D14" s="12">
        <v>74685.0</v>
      </c>
    </row>
    <row r="15">
      <c r="B15" s="11" t="s">
        <v>75</v>
      </c>
      <c r="C15" s="12">
        <v>965183.0</v>
      </c>
      <c r="D15" s="12">
        <v>1153694.0</v>
      </c>
    </row>
    <row r="28">
      <c r="B28" s="11" t="s">
        <v>74</v>
      </c>
      <c r="C28" s="11" t="s">
        <v>61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>
      <c r="B29" s="11" t="s">
        <v>1</v>
      </c>
      <c r="C29" s="11"/>
      <c r="D29" s="11" t="s">
        <v>4</v>
      </c>
      <c r="E29" s="11" t="s">
        <v>30</v>
      </c>
      <c r="F29" s="11" t="s">
        <v>48</v>
      </c>
      <c r="G29" s="11" t="s">
        <v>54</v>
      </c>
      <c r="H29" s="11" t="s">
        <v>51</v>
      </c>
      <c r="I29" s="11" t="s">
        <v>27</v>
      </c>
      <c r="J29" s="11" t="s">
        <v>24</v>
      </c>
      <c r="K29" s="11" t="s">
        <v>59</v>
      </c>
      <c r="L29" s="11" t="s">
        <v>16</v>
      </c>
      <c r="M29" s="11" t="s">
        <v>45</v>
      </c>
      <c r="N29" s="11" t="s">
        <v>38</v>
      </c>
      <c r="O29" s="11" t="s">
        <v>34</v>
      </c>
      <c r="P29" s="11" t="s">
        <v>75</v>
      </c>
    </row>
    <row r="30" hidden="1">
      <c r="B30" s="11"/>
      <c r="C30" s="11">
        <v>0.0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0.0</v>
      </c>
    </row>
    <row r="31">
      <c r="B31" s="11" t="s">
        <v>63</v>
      </c>
      <c r="C31" s="11"/>
      <c r="D31" s="12">
        <v>4700.0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2">
        <v>4700.0</v>
      </c>
    </row>
    <row r="32">
      <c r="B32" s="11" t="s">
        <v>18</v>
      </c>
      <c r="C32" s="11"/>
      <c r="D32" s="11"/>
      <c r="E32" s="11"/>
      <c r="F32" s="11"/>
      <c r="G32" s="11"/>
      <c r="H32" s="11"/>
      <c r="I32" s="11"/>
      <c r="J32" s="12">
        <v>118.0</v>
      </c>
      <c r="K32" s="11"/>
      <c r="L32" s="12">
        <v>1180.0</v>
      </c>
      <c r="M32" s="12">
        <v>118.0</v>
      </c>
      <c r="N32" s="11"/>
      <c r="O32" s="11"/>
      <c r="P32" s="12">
        <v>1416.0</v>
      </c>
    </row>
    <row r="33">
      <c r="B33" s="11" t="s">
        <v>64</v>
      </c>
      <c r="C33" s="11"/>
      <c r="D33" s="12">
        <v>11495.0</v>
      </c>
      <c r="E33" s="12">
        <v>10609.0</v>
      </c>
      <c r="F33" s="12">
        <v>9684.0</v>
      </c>
      <c r="G33" s="12">
        <v>9721.0</v>
      </c>
      <c r="H33" s="12">
        <v>9670.0</v>
      </c>
      <c r="I33" s="12">
        <v>9042.0</v>
      </c>
      <c r="J33" s="12">
        <v>11683.0</v>
      </c>
      <c r="K33" s="12">
        <v>9771.0</v>
      </c>
      <c r="L33" s="12">
        <v>11388.0</v>
      </c>
      <c r="M33" s="12">
        <v>9965.0</v>
      </c>
      <c r="N33" s="12">
        <v>9635.0</v>
      </c>
      <c r="O33" s="12">
        <v>10328.0</v>
      </c>
      <c r="P33" s="12">
        <v>122991.0</v>
      </c>
    </row>
    <row r="34">
      <c r="B34" s="11" t="s">
        <v>65</v>
      </c>
      <c r="C34" s="11"/>
      <c r="D34" s="11"/>
      <c r="E34" s="12">
        <v>8024.0</v>
      </c>
      <c r="F34" s="11"/>
      <c r="G34" s="11"/>
      <c r="H34" s="11"/>
      <c r="I34" s="11"/>
      <c r="J34" s="11"/>
      <c r="K34" s="11"/>
      <c r="L34" s="12">
        <v>22199.0</v>
      </c>
      <c r="M34" s="12">
        <v>23969.0</v>
      </c>
      <c r="N34" s="12">
        <v>15680.0</v>
      </c>
      <c r="O34" s="12">
        <v>15000.0</v>
      </c>
      <c r="P34" s="12">
        <v>84872.0</v>
      </c>
    </row>
    <row r="35">
      <c r="B35" s="11" t="s">
        <v>66</v>
      </c>
      <c r="C35" s="11"/>
      <c r="D35" s="12">
        <v>3000.0</v>
      </c>
      <c r="E35" s="11"/>
      <c r="F35" s="11"/>
      <c r="G35" s="11"/>
      <c r="H35" s="11"/>
      <c r="I35" s="11"/>
      <c r="J35" s="11"/>
      <c r="K35" s="11"/>
      <c r="L35" s="11"/>
      <c r="M35" s="11"/>
      <c r="N35" s="12">
        <v>11210.0</v>
      </c>
      <c r="O35" s="11"/>
      <c r="P35" s="12">
        <v>14210.0</v>
      </c>
    </row>
    <row r="36">
      <c r="B36" s="11" t="s">
        <v>31</v>
      </c>
      <c r="C36" s="11"/>
      <c r="D36" s="12">
        <v>7750.0</v>
      </c>
      <c r="E36" s="12">
        <v>7486.0</v>
      </c>
      <c r="F36" s="12">
        <v>7794.0</v>
      </c>
      <c r="G36" s="12">
        <v>8300.0</v>
      </c>
      <c r="H36" s="12">
        <v>7838.0</v>
      </c>
      <c r="I36" s="12">
        <v>7178.0</v>
      </c>
      <c r="J36" s="12">
        <v>6980.0</v>
      </c>
      <c r="K36" s="12">
        <v>7822.0</v>
      </c>
      <c r="L36" s="12">
        <v>6826.0</v>
      </c>
      <c r="M36" s="12">
        <v>7530.0</v>
      </c>
      <c r="N36" s="12">
        <v>7850.0</v>
      </c>
      <c r="O36" s="12">
        <v>7457.0</v>
      </c>
      <c r="P36" s="12">
        <v>90811.0</v>
      </c>
    </row>
    <row r="37">
      <c r="B37" s="11" t="s">
        <v>62</v>
      </c>
      <c r="C37" s="11"/>
      <c r="D37" s="12">
        <v>500.0</v>
      </c>
      <c r="E37" s="12">
        <v>500.0</v>
      </c>
      <c r="F37" s="12">
        <v>500.0</v>
      </c>
      <c r="G37" s="12">
        <v>500.0</v>
      </c>
      <c r="H37" s="12">
        <v>500.0</v>
      </c>
      <c r="I37" s="12">
        <v>500.0</v>
      </c>
      <c r="J37" s="12">
        <v>500.0</v>
      </c>
      <c r="K37" s="12">
        <v>500.0</v>
      </c>
      <c r="L37" s="12">
        <v>500.0</v>
      </c>
      <c r="M37" s="12">
        <v>500.0</v>
      </c>
      <c r="N37" s="12">
        <v>500.0</v>
      </c>
      <c r="O37" s="12">
        <v>500.0</v>
      </c>
      <c r="P37" s="12">
        <v>6000.0</v>
      </c>
    </row>
    <row r="38">
      <c r="B38" s="11" t="s">
        <v>56</v>
      </c>
      <c r="C38" s="11"/>
      <c r="D38" s="11"/>
      <c r="E38" s="11"/>
      <c r="F38" s="11"/>
      <c r="G38" s="12">
        <v>750.0</v>
      </c>
      <c r="H38" s="11"/>
      <c r="I38" s="11"/>
      <c r="J38" s="11"/>
      <c r="K38" s="11"/>
      <c r="L38" s="11"/>
      <c r="M38" s="11"/>
      <c r="N38" s="11"/>
      <c r="O38" s="11"/>
      <c r="P38" s="12">
        <v>750.0</v>
      </c>
    </row>
    <row r="39">
      <c r="B39" s="11" t="s">
        <v>57</v>
      </c>
      <c r="C39" s="11"/>
      <c r="D39" s="11"/>
      <c r="E39" s="11"/>
      <c r="F39" s="11"/>
      <c r="G39" s="12">
        <v>5000.0</v>
      </c>
      <c r="H39" s="11"/>
      <c r="I39" s="11"/>
      <c r="J39" s="11"/>
      <c r="K39" s="11"/>
      <c r="L39" s="11"/>
      <c r="M39" s="11"/>
      <c r="N39" s="11"/>
      <c r="O39" s="11"/>
      <c r="P39" s="12">
        <v>5000.0</v>
      </c>
    </row>
    <row r="40">
      <c r="B40" s="11" t="s">
        <v>33</v>
      </c>
      <c r="C40" s="11"/>
      <c r="D40" s="11"/>
      <c r="E40" s="12">
        <v>485.0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2">
        <v>485.0</v>
      </c>
    </row>
    <row r="41">
      <c r="B41" s="11" t="s">
        <v>22</v>
      </c>
      <c r="C41" s="11"/>
      <c r="D41" s="11"/>
      <c r="E41" s="11"/>
      <c r="F41" s="11"/>
      <c r="G41" s="12">
        <v>1000.0</v>
      </c>
      <c r="H41" s="11"/>
      <c r="I41" s="12">
        <v>1000.0</v>
      </c>
      <c r="J41" s="11"/>
      <c r="K41" s="11"/>
      <c r="L41" s="12">
        <v>1000.0</v>
      </c>
      <c r="M41" s="11"/>
      <c r="N41" s="12">
        <v>1000.0</v>
      </c>
      <c r="O41" s="12">
        <v>1000.0</v>
      </c>
      <c r="P41" s="12">
        <v>5000.0</v>
      </c>
    </row>
    <row r="42">
      <c r="B42" s="11" t="s">
        <v>53</v>
      </c>
      <c r="C42" s="11"/>
      <c r="D42" s="11"/>
      <c r="E42" s="11"/>
      <c r="F42" s="11"/>
      <c r="G42" s="11"/>
      <c r="H42" s="12">
        <v>6000.0</v>
      </c>
      <c r="I42" s="11"/>
      <c r="J42" s="11"/>
      <c r="K42" s="11"/>
      <c r="L42" s="11"/>
      <c r="M42" s="11"/>
      <c r="N42" s="11"/>
      <c r="O42" s="11"/>
      <c r="P42" s="12">
        <v>6000.0</v>
      </c>
    </row>
    <row r="43">
      <c r="B43" s="11" t="s">
        <v>71</v>
      </c>
      <c r="C43" s="11"/>
      <c r="D43" s="12">
        <v>1500.0</v>
      </c>
      <c r="E43" s="12">
        <v>1500.0</v>
      </c>
      <c r="F43" s="12">
        <v>1500.0</v>
      </c>
      <c r="G43" s="12">
        <v>1500.0</v>
      </c>
      <c r="H43" s="12">
        <v>1500.0</v>
      </c>
      <c r="I43" s="12">
        <v>1500.0</v>
      </c>
      <c r="J43" s="12">
        <v>1500.0</v>
      </c>
      <c r="K43" s="12">
        <v>1500.0</v>
      </c>
      <c r="L43" s="12">
        <v>1500.0</v>
      </c>
      <c r="M43" s="12">
        <v>1500.0</v>
      </c>
      <c r="N43" s="12">
        <v>1500.0</v>
      </c>
      <c r="O43" s="12">
        <v>1500.0</v>
      </c>
      <c r="P43" s="12">
        <v>18000.0</v>
      </c>
    </row>
    <row r="44">
      <c r="B44" s="11" t="s">
        <v>50</v>
      </c>
      <c r="C44" s="11"/>
      <c r="D44" s="11"/>
      <c r="E44" s="11"/>
      <c r="F44" s="12">
        <v>117950.0</v>
      </c>
      <c r="G44" s="11"/>
      <c r="H44" s="11"/>
      <c r="I44" s="11"/>
      <c r="J44" s="11"/>
      <c r="K44" s="11"/>
      <c r="L44" s="11"/>
      <c r="M44" s="11"/>
      <c r="N44" s="11"/>
      <c r="O44" s="11"/>
      <c r="P44" s="12">
        <v>117950.0</v>
      </c>
    </row>
    <row r="45">
      <c r="B45" s="11" t="s">
        <v>67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2">
        <v>9649.0</v>
      </c>
      <c r="O45" s="11"/>
      <c r="P45" s="12">
        <v>9649.0</v>
      </c>
    </row>
    <row r="46">
      <c r="B46" s="11" t="s">
        <v>29</v>
      </c>
      <c r="C46" s="11"/>
      <c r="D46" s="11"/>
      <c r="E46" s="11"/>
      <c r="F46" s="11"/>
      <c r="G46" s="11"/>
      <c r="H46" s="11"/>
      <c r="I46" s="12">
        <v>3000.0</v>
      </c>
      <c r="J46" s="11"/>
      <c r="K46" s="11"/>
      <c r="L46" s="11"/>
      <c r="M46" s="11"/>
      <c r="N46" s="11"/>
      <c r="O46" s="11"/>
      <c r="P46" s="12">
        <v>3000.0</v>
      </c>
    </row>
    <row r="47">
      <c r="B47" s="11" t="s">
        <v>68</v>
      </c>
      <c r="C47" s="11"/>
      <c r="D47" s="12">
        <v>10000.0</v>
      </c>
      <c r="E47" s="12">
        <v>11000.0</v>
      </c>
      <c r="F47" s="12">
        <v>11000.0</v>
      </c>
      <c r="G47" s="12">
        <v>15000.0</v>
      </c>
      <c r="H47" s="12">
        <v>13000.0</v>
      </c>
      <c r="I47" s="12">
        <v>11000.0</v>
      </c>
      <c r="J47" s="12">
        <v>11000.0</v>
      </c>
      <c r="K47" s="12">
        <v>15000.0</v>
      </c>
      <c r="L47" s="12">
        <v>11000.0</v>
      </c>
      <c r="M47" s="12">
        <v>11000.0</v>
      </c>
      <c r="N47" s="12">
        <v>11000.0</v>
      </c>
      <c r="O47" s="12">
        <v>11000.0</v>
      </c>
      <c r="P47" s="12">
        <v>141000.0</v>
      </c>
    </row>
    <row r="48" hidden="1">
      <c r="B48" s="11" t="s">
        <v>5</v>
      </c>
      <c r="C48" s="11"/>
      <c r="D48" s="12">
        <v>0.0</v>
      </c>
      <c r="E48" s="12">
        <v>0.0</v>
      </c>
      <c r="F48" s="12">
        <v>0.0</v>
      </c>
      <c r="G48" s="12">
        <v>0.0</v>
      </c>
      <c r="H48" s="12">
        <v>0.0</v>
      </c>
      <c r="I48" s="12">
        <v>0.0</v>
      </c>
      <c r="J48" s="12">
        <v>0.0</v>
      </c>
      <c r="K48" s="12">
        <v>0.0</v>
      </c>
      <c r="L48" s="12">
        <v>0.0</v>
      </c>
      <c r="M48" s="12">
        <v>0.0</v>
      </c>
      <c r="N48" s="12">
        <v>0.0</v>
      </c>
      <c r="O48" s="12">
        <v>0.0</v>
      </c>
      <c r="P48" s="12">
        <v>0.0</v>
      </c>
    </row>
    <row r="49">
      <c r="B49" s="11" t="s">
        <v>36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2">
        <v>400.0</v>
      </c>
      <c r="P49" s="12">
        <v>400.0</v>
      </c>
    </row>
    <row r="50">
      <c r="B50" s="11" t="s">
        <v>69</v>
      </c>
      <c r="C50" s="11"/>
      <c r="D50" s="11"/>
      <c r="E50" s="11"/>
      <c r="F50" s="11"/>
      <c r="G50" s="11"/>
      <c r="H50" s="11"/>
      <c r="I50" s="11"/>
      <c r="J50" s="11"/>
      <c r="K50" s="11"/>
      <c r="L50" s="12">
        <v>150000.0</v>
      </c>
      <c r="M50" s="11"/>
      <c r="N50" s="11"/>
      <c r="O50" s="11"/>
      <c r="P50" s="12">
        <v>150000.0</v>
      </c>
    </row>
    <row r="51">
      <c r="B51" s="11" t="s">
        <v>70</v>
      </c>
      <c r="C51" s="11"/>
      <c r="D51" s="11"/>
      <c r="E51" s="11"/>
      <c r="F51" s="11"/>
      <c r="G51" s="11"/>
      <c r="H51" s="11"/>
      <c r="I51" s="11"/>
      <c r="J51" s="11"/>
      <c r="K51" s="11"/>
      <c r="L51" s="12">
        <v>12835.0</v>
      </c>
      <c r="M51" s="11"/>
      <c r="N51" s="12">
        <v>9500.0</v>
      </c>
      <c r="O51" s="11"/>
      <c r="P51" s="12">
        <v>22335.0</v>
      </c>
    </row>
    <row r="52">
      <c r="B52" s="11" t="s">
        <v>52</v>
      </c>
      <c r="C52" s="11"/>
      <c r="D52" s="11"/>
      <c r="E52" s="11"/>
      <c r="F52" s="11"/>
      <c r="G52" s="11"/>
      <c r="H52" s="12">
        <v>14775.0</v>
      </c>
      <c r="I52" s="11"/>
      <c r="J52" s="11"/>
      <c r="K52" s="11"/>
      <c r="L52" s="11"/>
      <c r="M52" s="11"/>
      <c r="N52" s="11"/>
      <c r="O52" s="11"/>
      <c r="P52" s="12">
        <v>14775.0</v>
      </c>
    </row>
    <row r="53" hidden="1">
      <c r="B53" s="11" t="s">
        <v>60</v>
      </c>
      <c r="C53" s="11"/>
      <c r="D53" s="11"/>
      <c r="E53" s="11"/>
      <c r="F53" s="11"/>
      <c r="G53" s="11"/>
      <c r="H53" s="11"/>
      <c r="I53" s="11"/>
      <c r="J53" s="11"/>
      <c r="K53" s="12">
        <v>0.0</v>
      </c>
      <c r="L53" s="11"/>
      <c r="M53" s="11"/>
      <c r="N53" s="11"/>
      <c r="O53" s="11"/>
      <c r="P53" s="12">
        <v>0.0</v>
      </c>
    </row>
    <row r="54">
      <c r="B54" s="11" t="s">
        <v>43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2">
        <v>0.0</v>
      </c>
      <c r="O54" s="11"/>
      <c r="P54" s="12">
        <v>0.0</v>
      </c>
    </row>
    <row r="55">
      <c r="B55" s="11" t="s">
        <v>17</v>
      </c>
      <c r="C55" s="11"/>
      <c r="D55" s="12">
        <v>27500.0</v>
      </c>
      <c r="E55" s="12">
        <v>27500.0</v>
      </c>
      <c r="F55" s="12">
        <v>27500.0</v>
      </c>
      <c r="G55" s="12">
        <v>27500.0</v>
      </c>
      <c r="H55" s="12">
        <v>27500.0</v>
      </c>
      <c r="I55" s="12">
        <v>27500.0</v>
      </c>
      <c r="J55" s="12">
        <v>27500.0</v>
      </c>
      <c r="K55" s="12">
        <v>27500.0</v>
      </c>
      <c r="L55" s="12">
        <v>27500.0</v>
      </c>
      <c r="M55" s="12">
        <v>27500.0</v>
      </c>
      <c r="N55" s="12">
        <v>27500.0</v>
      </c>
      <c r="O55" s="12">
        <v>27500.0</v>
      </c>
      <c r="P55" s="12">
        <v>330000.0</v>
      </c>
      <c r="R55" s="12">
        <f>P55+(P55*0.15)</f>
        <v>379500</v>
      </c>
      <c r="S55" s="11">
        <f>R55/12</f>
        <v>31625</v>
      </c>
    </row>
    <row r="56">
      <c r="B56" s="11" t="s">
        <v>28</v>
      </c>
      <c r="C56" s="11"/>
      <c r="D56" s="11"/>
      <c r="E56" s="11"/>
      <c r="F56" s="11"/>
      <c r="G56" s="11"/>
      <c r="H56" s="11"/>
      <c r="I56" s="12">
        <v>4350.0</v>
      </c>
      <c r="J56" s="11"/>
      <c r="K56" s="11"/>
      <c r="L56" s="11"/>
      <c r="M56" s="11"/>
      <c r="N56" s="11"/>
      <c r="O56" s="11"/>
      <c r="P56" s="12">
        <v>4350.0</v>
      </c>
    </row>
    <row r="57">
      <c r="B57" s="11" t="s">
        <v>75</v>
      </c>
      <c r="C57" s="11">
        <v>0.0</v>
      </c>
      <c r="D57" s="12">
        <v>66445.0</v>
      </c>
      <c r="E57" s="12">
        <v>67104.0</v>
      </c>
      <c r="F57" s="12">
        <v>175928.0</v>
      </c>
      <c r="G57" s="12">
        <v>69271.0</v>
      </c>
      <c r="H57" s="12">
        <v>80783.0</v>
      </c>
      <c r="I57" s="12">
        <v>65070.0</v>
      </c>
      <c r="J57" s="12">
        <v>59281.0</v>
      </c>
      <c r="K57" s="12">
        <v>62093.0</v>
      </c>
      <c r="L57" s="12">
        <v>245928.0</v>
      </c>
      <c r="M57" s="12">
        <v>82082.0</v>
      </c>
      <c r="N57" s="12">
        <v>105024.0</v>
      </c>
      <c r="O57" s="12">
        <v>74685.0</v>
      </c>
      <c r="P57" s="12">
        <v>1153694.0</v>
      </c>
      <c r="R57" s="11">
        <f>P57/12</f>
        <v>96141.16667</v>
      </c>
    </row>
    <row r="58">
      <c r="O58" s="11" t="str">
        <f>O56</f>
        <v/>
      </c>
      <c r="P58" s="11">
        <f>O58-O50-O44</f>
        <v>0</v>
      </c>
      <c r="Q58" s="12">
        <f>P50+P44</f>
        <v>267950</v>
      </c>
      <c r="R58" s="11">
        <f>(P57-Q58)/12</f>
        <v>73812</v>
      </c>
    </row>
    <row r="59">
      <c r="P59" s="11">
        <f>P58/12</f>
        <v>0</v>
      </c>
      <c r="Q59" s="11">
        <f>2600*30</f>
        <v>78000</v>
      </c>
    </row>
  </sheetData>
  <autoFilter ref="$A$1:$D$14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37.29"/>
    <col customWidth="1" min="4" max="4" width="25.29"/>
    <col customWidth="1" min="5" max="5" width="17.0"/>
    <col customWidth="1" min="6" max="26" width="8.71"/>
  </cols>
  <sheetData>
    <row r="1" ht="14.25" customHeight="1"/>
    <row r="2" ht="14.25" customHeight="1">
      <c r="B2" s="13" t="s">
        <v>76</v>
      </c>
      <c r="C2" s="14"/>
      <c r="D2" s="14"/>
      <c r="E2" s="15"/>
    </row>
    <row r="3" ht="14.25" customHeight="1">
      <c r="B3" s="16" t="s">
        <v>77</v>
      </c>
      <c r="C3" s="14"/>
      <c r="D3" s="14"/>
      <c r="E3" s="15"/>
    </row>
    <row r="4" ht="14.25" customHeight="1">
      <c r="B4" s="17" t="s">
        <v>78</v>
      </c>
      <c r="C4" s="17" t="s">
        <v>79</v>
      </c>
      <c r="D4" s="18" t="s">
        <v>80</v>
      </c>
      <c r="E4" s="18" t="s">
        <v>81</v>
      </c>
    </row>
    <row r="5" ht="14.25" customHeight="1">
      <c r="B5" s="19">
        <v>45383.0</v>
      </c>
      <c r="C5" s="17" t="s">
        <v>82</v>
      </c>
      <c r="D5" s="20">
        <v>949384.7</v>
      </c>
      <c r="E5" s="6"/>
    </row>
    <row r="6" ht="14.25" customHeight="1">
      <c r="B6" s="21"/>
      <c r="C6" s="5" t="s">
        <v>83</v>
      </c>
      <c r="D6" s="6">
        <v>38216.0</v>
      </c>
      <c r="E6" s="6"/>
    </row>
    <row r="7" ht="14.25" customHeight="1">
      <c r="B7" s="21"/>
      <c r="C7" s="5" t="s">
        <v>84</v>
      </c>
      <c r="D7" s="6">
        <f>D5-D6</f>
        <v>911168.7</v>
      </c>
      <c r="E7" s="6"/>
    </row>
    <row r="8" ht="14.25" customHeight="1">
      <c r="B8" s="21"/>
      <c r="C8" s="5"/>
      <c r="D8" s="6"/>
      <c r="E8" s="6"/>
    </row>
    <row r="9" ht="14.25" customHeight="1">
      <c r="B9" s="21"/>
      <c r="C9" s="17" t="s">
        <v>85</v>
      </c>
      <c r="D9" s="6"/>
      <c r="E9" s="6"/>
    </row>
    <row r="10" ht="14.25" customHeight="1">
      <c r="B10" s="21"/>
      <c r="C10" s="5" t="s">
        <v>5</v>
      </c>
      <c r="D10" s="6">
        <v>130000.0</v>
      </c>
      <c r="E10" s="6"/>
    </row>
    <row r="11" ht="14.25" customHeight="1">
      <c r="B11" s="19"/>
      <c r="C11" s="5" t="s">
        <v>6</v>
      </c>
      <c r="D11" s="6">
        <v>5885.0</v>
      </c>
      <c r="E11" s="6"/>
    </row>
    <row r="12" ht="14.25" customHeight="1">
      <c r="B12" s="21"/>
      <c r="C12" s="5"/>
      <c r="D12" s="6"/>
      <c r="E12" s="6"/>
    </row>
    <row r="13" ht="14.25" customHeight="1">
      <c r="B13" s="21"/>
      <c r="C13" s="17" t="s">
        <v>86</v>
      </c>
      <c r="D13" s="20">
        <f>SUM(D10:D11)</f>
        <v>135885</v>
      </c>
      <c r="E13" s="6"/>
    </row>
    <row r="14" ht="14.25" customHeight="1">
      <c r="B14" s="21"/>
      <c r="C14" s="17" t="s">
        <v>87</v>
      </c>
      <c r="D14" s="20">
        <f>D5+D13</f>
        <v>1085269.7</v>
      </c>
      <c r="E14" s="6"/>
    </row>
    <row r="15" ht="14.25" customHeight="1">
      <c r="B15" s="21"/>
      <c r="C15" s="5"/>
      <c r="D15" s="6"/>
      <c r="E15" s="6"/>
    </row>
    <row r="16" ht="14.25" customHeight="1">
      <c r="B16" s="21"/>
      <c r="C16" s="17" t="s">
        <v>88</v>
      </c>
      <c r="D16" s="6"/>
      <c r="E16" s="6"/>
    </row>
    <row r="17" ht="14.25" customHeight="1">
      <c r="B17" s="19">
        <v>45393.0</v>
      </c>
      <c r="C17" s="5" t="s">
        <v>7</v>
      </c>
      <c r="D17" s="6"/>
      <c r="E17" s="6">
        <v>27500.0</v>
      </c>
    </row>
    <row r="18" ht="14.25" customHeight="1">
      <c r="B18" s="19">
        <v>45392.0</v>
      </c>
      <c r="C18" s="5" t="s">
        <v>8</v>
      </c>
      <c r="D18" s="6"/>
      <c r="E18" s="6">
        <v>10000.0</v>
      </c>
    </row>
    <row r="19" ht="14.25" customHeight="1">
      <c r="B19" s="19">
        <v>45399.0</v>
      </c>
      <c r="C19" s="5" t="s">
        <v>9</v>
      </c>
      <c r="D19" s="6"/>
      <c r="E19" s="6">
        <v>11495.0</v>
      </c>
    </row>
    <row r="20" ht="14.25" customHeight="1">
      <c r="B20" s="19">
        <v>45405.0</v>
      </c>
      <c r="C20" s="5" t="s">
        <v>10</v>
      </c>
      <c r="D20" s="6"/>
      <c r="E20" s="6">
        <v>7750.0</v>
      </c>
    </row>
    <row r="21" ht="14.25" customHeight="1">
      <c r="B21" s="19"/>
      <c r="C21" s="5"/>
      <c r="D21" s="6"/>
      <c r="E21" s="6"/>
    </row>
    <row r="22" ht="14.25" customHeight="1">
      <c r="B22" s="21"/>
      <c r="C22" s="17" t="s">
        <v>89</v>
      </c>
      <c r="D22" s="6"/>
      <c r="E22" s="20">
        <f>SUM(E17:E20)</f>
        <v>56745</v>
      </c>
    </row>
    <row r="23" ht="14.25" customHeight="1">
      <c r="B23" s="19">
        <v>45412.0</v>
      </c>
      <c r="C23" s="17" t="s">
        <v>90</v>
      </c>
      <c r="D23" s="20">
        <f>D14-E22</f>
        <v>1028524.7</v>
      </c>
      <c r="E23" s="6"/>
    </row>
    <row r="24" ht="14.25" customHeight="1">
      <c r="B24" s="21"/>
      <c r="C24" s="17"/>
      <c r="D24" s="20"/>
      <c r="E24" s="6"/>
    </row>
    <row r="25" ht="14.25" customHeight="1">
      <c r="B25" s="21"/>
      <c r="C25" s="17" t="s">
        <v>91</v>
      </c>
      <c r="D25" s="6"/>
      <c r="E25" s="20"/>
    </row>
    <row r="26" ht="14.25" customHeight="1">
      <c r="B26" s="21"/>
      <c r="C26" s="17" t="s">
        <v>92</v>
      </c>
      <c r="D26" s="6"/>
      <c r="E26" s="20">
        <v>0.0</v>
      </c>
    </row>
    <row r="27" ht="14.25" customHeight="1">
      <c r="B27" s="21"/>
      <c r="C27" s="17" t="s">
        <v>93</v>
      </c>
      <c r="D27" s="6"/>
      <c r="E27" s="20">
        <v>3506.0</v>
      </c>
    </row>
    <row r="28" ht="14.25" customHeight="1">
      <c r="B28" s="19">
        <v>45386.0</v>
      </c>
      <c r="C28" s="5" t="s">
        <v>11</v>
      </c>
      <c r="D28" s="6"/>
      <c r="E28" s="6">
        <v>1500.0</v>
      </c>
      <c r="K28" s="22"/>
    </row>
    <row r="29" ht="14.25" customHeight="1">
      <c r="B29" s="19">
        <v>45386.0</v>
      </c>
      <c r="C29" s="5" t="s">
        <v>12</v>
      </c>
      <c r="D29" s="6"/>
      <c r="E29" s="6">
        <v>500.0</v>
      </c>
    </row>
    <row r="30" ht="14.25" customHeight="1">
      <c r="B30" s="19">
        <v>45410.0</v>
      </c>
      <c r="C30" s="5" t="s">
        <v>13</v>
      </c>
      <c r="D30" s="6"/>
      <c r="E30" s="6">
        <v>3000.0</v>
      </c>
    </row>
    <row r="31" ht="14.25" customHeight="1">
      <c r="B31" s="19">
        <v>45410.0</v>
      </c>
      <c r="C31" s="5" t="s">
        <v>14</v>
      </c>
      <c r="D31" s="6"/>
      <c r="E31" s="6">
        <v>3500.0</v>
      </c>
    </row>
    <row r="32" ht="14.25" customHeight="1">
      <c r="B32" s="19">
        <v>45410.0</v>
      </c>
      <c r="C32" s="5" t="s">
        <v>15</v>
      </c>
      <c r="D32" s="6"/>
      <c r="E32" s="6">
        <v>1200.0</v>
      </c>
    </row>
    <row r="33" ht="14.25" customHeight="1">
      <c r="B33" s="19"/>
      <c r="C33" s="5"/>
      <c r="D33" s="6"/>
      <c r="E33" s="6"/>
    </row>
    <row r="34" ht="14.25" customHeight="1">
      <c r="B34" s="5"/>
      <c r="C34" s="17" t="s">
        <v>94</v>
      </c>
      <c r="D34" s="6"/>
      <c r="E34" s="20">
        <v>9700.0</v>
      </c>
      <c r="L34" s="23">
        <v>10000.0</v>
      </c>
    </row>
    <row r="35" ht="14.25" customHeight="1">
      <c r="B35" s="5"/>
      <c r="C35" s="17"/>
      <c r="D35" s="6"/>
      <c r="E35" s="20"/>
      <c r="L35" s="23">
        <v>6194.0</v>
      </c>
    </row>
    <row r="36" ht="14.25" customHeight="1">
      <c r="B36" s="24"/>
      <c r="C36" s="17" t="s">
        <v>95</v>
      </c>
      <c r="D36" s="20">
        <f>E27-E34</f>
        <v>-6194</v>
      </c>
      <c r="E36" s="20"/>
      <c r="L36" s="23">
        <v>2000.0</v>
      </c>
    </row>
    <row r="37" ht="14.25" customHeight="1">
      <c r="B37" s="5"/>
      <c r="C37" s="5"/>
      <c r="D37" s="6"/>
      <c r="E37" s="6"/>
    </row>
    <row r="38" ht="14.25" customHeight="1">
      <c r="B38" s="24">
        <v>45412.0</v>
      </c>
      <c r="C38" s="17" t="s">
        <v>96</v>
      </c>
      <c r="D38" s="20">
        <f>D23</f>
        <v>1028524.7</v>
      </c>
      <c r="E38" s="6"/>
      <c r="L38" s="23">
        <f>L34-L35-L36</f>
        <v>1806</v>
      </c>
    </row>
    <row r="39" ht="14.25" customHeight="1">
      <c r="B39" s="24">
        <v>45412.0</v>
      </c>
      <c r="C39" s="17" t="s">
        <v>97</v>
      </c>
      <c r="D39" s="20">
        <f>D38</f>
        <v>1028524.7</v>
      </c>
      <c r="E39" s="6"/>
    </row>
    <row r="40" ht="14.25" customHeight="1"/>
    <row r="41" ht="14.25" customHeight="1">
      <c r="C41" s="25"/>
    </row>
    <row r="42" ht="14.25" customHeight="1"/>
    <row r="43" ht="14.25" customHeight="1"/>
    <row r="44" ht="14.25" customHeight="1">
      <c r="E44" s="26" t="s">
        <v>98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2:E2"/>
    <mergeCell ref="B3:E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37.29"/>
    <col customWidth="1" min="4" max="4" width="25.29"/>
    <col customWidth="1" min="5" max="5" width="17.0"/>
    <col customWidth="1" min="6" max="26" width="8.71"/>
  </cols>
  <sheetData>
    <row r="1" ht="14.25" customHeight="1"/>
    <row r="2" ht="14.25" customHeight="1">
      <c r="B2" s="27" t="s">
        <v>76</v>
      </c>
      <c r="C2" s="14"/>
      <c r="D2" s="14"/>
      <c r="E2" s="15"/>
    </row>
    <row r="3" ht="14.25" customHeight="1">
      <c r="B3" s="16" t="s">
        <v>99</v>
      </c>
      <c r="C3" s="14"/>
      <c r="D3" s="14"/>
      <c r="E3" s="15"/>
    </row>
    <row r="4" ht="14.25" customHeight="1">
      <c r="B4" s="17" t="s">
        <v>78</v>
      </c>
      <c r="C4" s="17" t="s">
        <v>79</v>
      </c>
      <c r="D4" s="18" t="s">
        <v>80</v>
      </c>
      <c r="E4" s="18" t="s">
        <v>81</v>
      </c>
    </row>
    <row r="5" ht="14.25" customHeight="1">
      <c r="B5" s="19">
        <v>45383.0</v>
      </c>
      <c r="C5" s="17" t="s">
        <v>82</v>
      </c>
      <c r="D5" s="20">
        <v>1028524.7</v>
      </c>
      <c r="E5" s="6"/>
    </row>
    <row r="6" ht="14.25" customHeight="1">
      <c r="B6" s="21"/>
      <c r="C6" s="5" t="s">
        <v>83</v>
      </c>
      <c r="D6" s="6">
        <v>0.0</v>
      </c>
      <c r="E6" s="6"/>
    </row>
    <row r="7" ht="14.25" customHeight="1">
      <c r="B7" s="21"/>
      <c r="C7" s="5" t="s">
        <v>84</v>
      </c>
      <c r="D7" s="6">
        <f>D5-D6</f>
        <v>1028524.7</v>
      </c>
      <c r="E7" s="6"/>
    </row>
    <row r="8" ht="14.25" customHeight="1">
      <c r="B8" s="21"/>
      <c r="C8" s="5"/>
      <c r="D8" s="6"/>
      <c r="E8" s="6"/>
    </row>
    <row r="9" ht="14.25" customHeight="1">
      <c r="B9" s="21"/>
      <c r="C9" s="17" t="s">
        <v>85</v>
      </c>
      <c r="D9" s="6"/>
      <c r="E9" s="6"/>
    </row>
    <row r="10" ht="14.25" customHeight="1">
      <c r="B10" s="21"/>
      <c r="C10" s="5" t="s">
        <v>5</v>
      </c>
      <c r="D10" s="6">
        <v>65000.0</v>
      </c>
      <c r="E10" s="6"/>
    </row>
    <row r="11" ht="14.25" customHeight="1">
      <c r="B11" s="21"/>
      <c r="C11" s="5"/>
      <c r="D11" s="6"/>
      <c r="E11" s="6"/>
    </row>
    <row r="12" ht="14.25" customHeight="1">
      <c r="B12" s="21"/>
      <c r="C12" s="17" t="s">
        <v>86</v>
      </c>
      <c r="D12" s="20">
        <f>SUM(D10)</f>
        <v>65000</v>
      </c>
      <c r="E12" s="6"/>
    </row>
    <row r="13" ht="14.25" customHeight="1">
      <c r="B13" s="21"/>
      <c r="C13" s="17" t="s">
        <v>87</v>
      </c>
      <c r="D13" s="20">
        <f>D5+D12</f>
        <v>1093524.7</v>
      </c>
      <c r="E13" s="6"/>
    </row>
    <row r="14" ht="14.25" customHeight="1">
      <c r="B14" s="21"/>
      <c r="C14" s="5"/>
      <c r="D14" s="6"/>
      <c r="E14" s="6"/>
    </row>
    <row r="15" ht="14.25" customHeight="1">
      <c r="B15" s="21"/>
      <c r="C15" s="17" t="s">
        <v>88</v>
      </c>
      <c r="D15" s="6"/>
      <c r="E15" s="6"/>
    </row>
    <row r="16" ht="14.25" customHeight="1">
      <c r="B16" s="19">
        <v>45414.0</v>
      </c>
      <c r="C16" s="5" t="s">
        <v>100</v>
      </c>
      <c r="D16" s="6"/>
      <c r="E16" s="6">
        <v>10000.0</v>
      </c>
    </row>
    <row r="17" ht="14.25" customHeight="1">
      <c r="B17" s="19">
        <v>45416.0</v>
      </c>
      <c r="C17" s="5" t="s">
        <v>8</v>
      </c>
      <c r="D17" s="6"/>
      <c r="E17" s="6">
        <v>11000.0</v>
      </c>
    </row>
    <row r="18" ht="14.25" customHeight="1">
      <c r="B18" s="19">
        <v>45418.0</v>
      </c>
      <c r="C18" s="5" t="s">
        <v>17</v>
      </c>
      <c r="D18" s="6"/>
      <c r="E18" s="6">
        <v>27500.0</v>
      </c>
    </row>
    <row r="19" ht="14.25" customHeight="1">
      <c r="B19" s="19">
        <v>45418.0</v>
      </c>
      <c r="C19" s="5" t="s">
        <v>18</v>
      </c>
      <c r="D19" s="6"/>
      <c r="E19" s="6">
        <v>1180.0</v>
      </c>
    </row>
    <row r="20" ht="14.25" customHeight="1">
      <c r="B20" s="19">
        <v>45419.0</v>
      </c>
      <c r="C20" s="5" t="s">
        <v>19</v>
      </c>
      <c r="D20" s="6"/>
      <c r="E20" s="6">
        <v>22199.0</v>
      </c>
    </row>
    <row r="21" ht="14.25" customHeight="1">
      <c r="B21" s="19">
        <v>45426.0</v>
      </c>
      <c r="C21" s="5" t="s">
        <v>20</v>
      </c>
      <c r="D21" s="6"/>
      <c r="E21" s="6">
        <v>150000.0</v>
      </c>
    </row>
    <row r="22" ht="14.25" customHeight="1">
      <c r="B22" s="19">
        <v>45428.0</v>
      </c>
      <c r="C22" s="5" t="s">
        <v>21</v>
      </c>
      <c r="D22" s="6"/>
      <c r="E22" s="6">
        <v>10000.0</v>
      </c>
    </row>
    <row r="23" ht="14.25" customHeight="1">
      <c r="B23" s="19">
        <v>45429.0</v>
      </c>
      <c r="C23" s="5" t="s">
        <v>9</v>
      </c>
      <c r="D23" s="6"/>
      <c r="E23" s="6">
        <f>6930+2203+2255</f>
        <v>11388</v>
      </c>
    </row>
    <row r="24" ht="14.25" customHeight="1">
      <c r="B24" s="19">
        <v>45432.0</v>
      </c>
      <c r="C24" s="5" t="s">
        <v>10</v>
      </c>
      <c r="D24" s="6"/>
      <c r="E24" s="6">
        <v>6826.0</v>
      </c>
    </row>
    <row r="25" ht="14.25" customHeight="1">
      <c r="B25" s="21"/>
      <c r="C25" s="17"/>
      <c r="D25" s="6"/>
      <c r="E25" s="20"/>
    </row>
    <row r="26" ht="14.25" customHeight="1">
      <c r="B26" s="21"/>
      <c r="C26" s="17" t="s">
        <v>89</v>
      </c>
      <c r="D26" s="6"/>
      <c r="E26" s="20">
        <f>SUM(E16:E24)</f>
        <v>250093</v>
      </c>
    </row>
    <row r="27" ht="14.25" customHeight="1">
      <c r="B27" s="19">
        <v>45412.0</v>
      </c>
      <c r="C27" s="17" t="s">
        <v>90</v>
      </c>
      <c r="D27" s="20">
        <f>D13-E26</f>
        <v>843431.7</v>
      </c>
      <c r="E27" s="6"/>
    </row>
    <row r="28" ht="14.25" customHeight="1">
      <c r="B28" s="21"/>
      <c r="C28" s="17"/>
      <c r="D28" s="20"/>
      <c r="E28" s="6"/>
    </row>
    <row r="29" ht="14.25" customHeight="1">
      <c r="B29" s="21"/>
      <c r="C29" s="17" t="s">
        <v>91</v>
      </c>
      <c r="D29" s="6"/>
      <c r="E29" s="20"/>
    </row>
    <row r="30" ht="14.25" customHeight="1">
      <c r="B30" s="21"/>
      <c r="C30" s="17" t="s">
        <v>101</v>
      </c>
      <c r="D30" s="6"/>
      <c r="E30" s="20">
        <v>10000.0</v>
      </c>
    </row>
    <row r="31" ht="14.25" customHeight="1">
      <c r="B31" s="21"/>
      <c r="C31" s="17" t="s">
        <v>93</v>
      </c>
      <c r="D31" s="6"/>
      <c r="E31" s="20">
        <v>-6194.0</v>
      </c>
    </row>
    <row r="32" ht="14.25" customHeight="1">
      <c r="B32" s="19">
        <v>45416.0</v>
      </c>
      <c r="C32" s="5" t="s">
        <v>11</v>
      </c>
      <c r="D32" s="6"/>
      <c r="E32" s="6">
        <v>1500.0</v>
      </c>
      <c r="K32" s="22"/>
    </row>
    <row r="33" ht="14.25" customHeight="1">
      <c r="B33" s="19">
        <v>45416.0</v>
      </c>
      <c r="C33" s="5" t="s">
        <v>12</v>
      </c>
      <c r="D33" s="6"/>
      <c r="E33" s="6">
        <v>500.0</v>
      </c>
    </row>
    <row r="34" ht="14.25" customHeight="1">
      <c r="B34" s="19">
        <v>45422.0</v>
      </c>
      <c r="C34" s="5" t="s">
        <v>22</v>
      </c>
      <c r="D34" s="6"/>
      <c r="E34" s="6">
        <v>1000.0</v>
      </c>
    </row>
    <row r="35" ht="14.25" customHeight="1">
      <c r="B35" s="19">
        <v>45428.0</v>
      </c>
      <c r="C35" s="5" t="s">
        <v>23</v>
      </c>
      <c r="D35" s="6"/>
      <c r="E35" s="6">
        <v>2835.0</v>
      </c>
    </row>
    <row r="36" ht="14.25" customHeight="1">
      <c r="B36" s="19"/>
      <c r="C36" s="5"/>
      <c r="D36" s="6"/>
      <c r="E36" s="6"/>
    </row>
    <row r="37" ht="14.25" customHeight="1">
      <c r="B37" s="5"/>
      <c r="C37" s="17" t="s">
        <v>94</v>
      </c>
      <c r="D37" s="6"/>
      <c r="E37" s="20">
        <f>E32+E33+E34+E35</f>
        <v>5835</v>
      </c>
    </row>
    <row r="38" ht="14.25" customHeight="1">
      <c r="B38" s="5"/>
      <c r="C38" s="17"/>
      <c r="D38" s="6"/>
      <c r="E38" s="20"/>
    </row>
    <row r="39" ht="14.25" customHeight="1">
      <c r="B39" s="24"/>
      <c r="C39" s="17" t="s">
        <v>95</v>
      </c>
      <c r="D39" s="20">
        <f>E30+E31-E37</f>
        <v>-2029</v>
      </c>
      <c r="E39" s="20"/>
    </row>
    <row r="40" ht="14.25" customHeight="1">
      <c r="B40" s="5"/>
      <c r="C40" s="5"/>
      <c r="D40" s="6"/>
      <c r="E40" s="6"/>
    </row>
    <row r="41" ht="14.25" customHeight="1">
      <c r="B41" s="24">
        <v>45412.0</v>
      </c>
      <c r="C41" s="17" t="s">
        <v>96</v>
      </c>
      <c r="D41" s="20">
        <f>D27</f>
        <v>843431.7</v>
      </c>
      <c r="E41" s="6"/>
    </row>
    <row r="42" ht="14.25" customHeight="1">
      <c r="B42" s="24">
        <v>45412.0</v>
      </c>
      <c r="C42" s="17" t="s">
        <v>97</v>
      </c>
      <c r="D42" s="20">
        <f>D41</f>
        <v>843431.7</v>
      </c>
      <c r="E42" s="6"/>
    </row>
    <row r="43" ht="14.25" customHeight="1"/>
    <row r="44" ht="14.25" customHeight="1">
      <c r="C44" s="25"/>
    </row>
    <row r="45" ht="14.25" customHeight="1"/>
    <row r="46" ht="14.25" customHeight="1"/>
    <row r="47" ht="14.25" customHeight="1">
      <c r="E47" s="26" t="s">
        <v>98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2">
    <mergeCell ref="B2:E2"/>
    <mergeCell ref="B3:E3"/>
  </mergeCell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37.29"/>
    <col customWidth="1" min="4" max="4" width="25.29"/>
    <col customWidth="1" min="5" max="5" width="17.0"/>
    <col customWidth="1" min="6" max="26" width="8.71"/>
  </cols>
  <sheetData>
    <row r="1" ht="14.25" customHeight="1"/>
    <row r="2" ht="14.25" customHeight="1">
      <c r="B2" s="13" t="s">
        <v>76</v>
      </c>
      <c r="C2" s="14"/>
      <c r="D2" s="14"/>
      <c r="E2" s="15"/>
    </row>
    <row r="3" ht="14.25" customHeight="1">
      <c r="B3" s="16" t="s">
        <v>102</v>
      </c>
      <c r="C3" s="14"/>
      <c r="D3" s="14"/>
      <c r="E3" s="15"/>
    </row>
    <row r="4" ht="14.25" customHeight="1">
      <c r="B4" s="17" t="s">
        <v>78</v>
      </c>
      <c r="C4" s="17" t="s">
        <v>79</v>
      </c>
      <c r="D4" s="18" t="s">
        <v>80</v>
      </c>
      <c r="E4" s="18" t="s">
        <v>81</v>
      </c>
    </row>
    <row r="5" ht="14.25" customHeight="1">
      <c r="B5" s="19">
        <v>45444.0</v>
      </c>
      <c r="C5" s="17" t="s">
        <v>82</v>
      </c>
      <c r="D5" s="20">
        <v>843431.7</v>
      </c>
      <c r="E5" s="6"/>
    </row>
    <row r="6" ht="14.25" customHeight="1">
      <c r="B6" s="21"/>
      <c r="C6" s="5" t="s">
        <v>83</v>
      </c>
      <c r="D6" s="6">
        <v>0.0</v>
      </c>
      <c r="E6" s="6"/>
    </row>
    <row r="7" ht="14.25" customHeight="1">
      <c r="B7" s="21"/>
      <c r="C7" s="5" t="s">
        <v>84</v>
      </c>
      <c r="D7" s="6">
        <f>D5-D6</f>
        <v>843431.7</v>
      </c>
      <c r="E7" s="6"/>
    </row>
    <row r="8" ht="14.25" customHeight="1">
      <c r="B8" s="21"/>
      <c r="C8" s="5"/>
      <c r="D8" s="6"/>
      <c r="E8" s="6"/>
    </row>
    <row r="9" ht="14.25" customHeight="1">
      <c r="B9" s="21"/>
      <c r="C9" s="17" t="s">
        <v>85</v>
      </c>
      <c r="D9" s="6"/>
      <c r="E9" s="6"/>
    </row>
    <row r="10" ht="14.25" customHeight="1">
      <c r="B10" s="21"/>
      <c r="C10" s="5" t="s">
        <v>5</v>
      </c>
      <c r="D10" s="6">
        <v>96200.0</v>
      </c>
      <c r="E10" s="6"/>
    </row>
    <row r="11" ht="14.25" customHeight="1">
      <c r="B11" s="21"/>
      <c r="C11" s="5"/>
      <c r="D11" s="6"/>
      <c r="E11" s="6"/>
    </row>
    <row r="12" ht="14.25" customHeight="1">
      <c r="B12" s="21"/>
      <c r="C12" s="17" t="s">
        <v>86</v>
      </c>
      <c r="D12" s="20">
        <f>SUM(D10)</f>
        <v>96200</v>
      </c>
      <c r="E12" s="6"/>
    </row>
    <row r="13" ht="14.25" customHeight="1">
      <c r="B13" s="21"/>
      <c r="C13" s="17" t="s">
        <v>87</v>
      </c>
      <c r="D13" s="20">
        <f>D5+D12</f>
        <v>939631.7</v>
      </c>
      <c r="E13" s="6"/>
    </row>
    <row r="14" ht="14.25" customHeight="1">
      <c r="B14" s="21"/>
      <c r="C14" s="5"/>
      <c r="D14" s="6"/>
      <c r="E14" s="6"/>
    </row>
    <row r="15" ht="14.25" customHeight="1">
      <c r="B15" s="21"/>
      <c r="C15" s="17" t="s">
        <v>88</v>
      </c>
      <c r="D15" s="6"/>
      <c r="E15" s="6"/>
    </row>
    <row r="16" ht="14.25" customHeight="1">
      <c r="B16" s="19">
        <v>45448.0</v>
      </c>
      <c r="C16" s="5" t="s">
        <v>100</v>
      </c>
      <c r="D16" s="6"/>
      <c r="E16" s="6">
        <v>15000.0</v>
      </c>
    </row>
    <row r="17" ht="14.25" customHeight="1">
      <c r="B17" s="19">
        <v>45449.0</v>
      </c>
      <c r="C17" s="5" t="s">
        <v>8</v>
      </c>
      <c r="D17" s="6"/>
      <c r="E17" s="6">
        <v>11000.0</v>
      </c>
    </row>
    <row r="18" ht="14.25" customHeight="1">
      <c r="B18" s="19">
        <v>45453.0</v>
      </c>
      <c r="C18" s="5" t="s">
        <v>25</v>
      </c>
      <c r="D18" s="6"/>
      <c r="E18" s="6">
        <v>27500.0</v>
      </c>
    </row>
    <row r="19" ht="14.25" customHeight="1">
      <c r="B19" s="19">
        <v>45446.0</v>
      </c>
      <c r="C19" s="5" t="s">
        <v>18</v>
      </c>
      <c r="D19" s="6"/>
      <c r="E19" s="6">
        <v>118.0</v>
      </c>
    </row>
    <row r="20" ht="14.25" customHeight="1">
      <c r="B20" s="19">
        <v>45460.0</v>
      </c>
      <c r="C20" s="5" t="s">
        <v>9</v>
      </c>
      <c r="D20" s="6"/>
      <c r="E20" s="6">
        <v>11683.0</v>
      </c>
    </row>
    <row r="21" ht="14.25" customHeight="1">
      <c r="B21" s="21"/>
      <c r="C21" s="17"/>
      <c r="D21" s="6"/>
      <c r="E21" s="20"/>
    </row>
    <row r="22" ht="14.25" customHeight="1">
      <c r="B22" s="21"/>
      <c r="C22" s="17" t="s">
        <v>89</v>
      </c>
      <c r="D22" s="6"/>
      <c r="E22" s="20">
        <f>SUM(E16:E20)</f>
        <v>65301</v>
      </c>
    </row>
    <row r="23" ht="14.25" customHeight="1">
      <c r="B23" s="19">
        <v>11498.0</v>
      </c>
      <c r="C23" s="17" t="s">
        <v>90</v>
      </c>
      <c r="D23" s="20">
        <f>D13-E22</f>
        <v>874330.7</v>
      </c>
      <c r="E23" s="6"/>
    </row>
    <row r="24" ht="14.25" customHeight="1">
      <c r="B24" s="21"/>
      <c r="C24" s="17"/>
      <c r="D24" s="20"/>
      <c r="E24" s="6"/>
    </row>
    <row r="25" ht="14.25" customHeight="1">
      <c r="B25" s="21"/>
      <c r="C25" s="17" t="s">
        <v>91</v>
      </c>
      <c r="D25" s="6"/>
      <c r="E25" s="20"/>
    </row>
    <row r="26" ht="14.25" customHeight="1">
      <c r="B26" s="21"/>
      <c r="C26" s="17" t="s">
        <v>103</v>
      </c>
      <c r="D26" s="6"/>
      <c r="E26" s="20">
        <v>15000.0</v>
      </c>
    </row>
    <row r="27" ht="14.25" customHeight="1">
      <c r="B27" s="21"/>
      <c r="C27" s="17" t="s">
        <v>93</v>
      </c>
      <c r="D27" s="6"/>
      <c r="E27" s="20">
        <v>-2029.0</v>
      </c>
    </row>
    <row r="28" ht="14.25" customHeight="1">
      <c r="B28" s="19">
        <v>45445.0</v>
      </c>
      <c r="C28" s="5" t="s">
        <v>11</v>
      </c>
      <c r="D28" s="6"/>
      <c r="E28" s="6">
        <v>1500.0</v>
      </c>
      <c r="K28" s="22"/>
    </row>
    <row r="29" ht="14.25" customHeight="1">
      <c r="B29" s="19">
        <v>45445.0</v>
      </c>
      <c r="C29" s="5" t="s">
        <v>12</v>
      </c>
      <c r="D29" s="6"/>
      <c r="E29" s="6">
        <v>500.0</v>
      </c>
    </row>
    <row r="30" ht="14.25" customHeight="1">
      <c r="B30" s="19">
        <v>45463.0</v>
      </c>
      <c r="C30" s="5" t="s">
        <v>26</v>
      </c>
      <c r="D30" s="6"/>
      <c r="E30" s="6">
        <v>6980.0</v>
      </c>
    </row>
    <row r="31" ht="14.25" customHeight="1">
      <c r="B31" s="19"/>
      <c r="C31" s="5"/>
      <c r="D31" s="6"/>
      <c r="E31" s="6"/>
    </row>
    <row r="32" ht="14.25" customHeight="1">
      <c r="B32" s="19"/>
      <c r="C32" s="5"/>
      <c r="D32" s="6"/>
      <c r="E32" s="6"/>
    </row>
    <row r="33" ht="14.25" customHeight="1">
      <c r="B33" s="5"/>
      <c r="C33" s="17" t="s">
        <v>94</v>
      </c>
      <c r="D33" s="6"/>
      <c r="E33" s="20">
        <f>sum(E28:E30)</f>
        <v>8980</v>
      </c>
    </row>
    <row r="34" ht="14.25" customHeight="1">
      <c r="B34" s="5"/>
      <c r="C34" s="17"/>
      <c r="D34" s="6"/>
      <c r="E34" s="20"/>
    </row>
    <row r="35" ht="14.25" customHeight="1">
      <c r="B35" s="24"/>
      <c r="C35" s="17" t="s">
        <v>95</v>
      </c>
      <c r="D35" s="20">
        <f>E27+E26-E33</f>
        <v>3991</v>
      </c>
      <c r="E35" s="20"/>
    </row>
    <row r="36" ht="14.25" customHeight="1">
      <c r="B36" s="5"/>
      <c r="C36" s="5"/>
      <c r="D36" s="6"/>
      <c r="E36" s="6"/>
    </row>
    <row r="37" ht="14.25" customHeight="1">
      <c r="B37" s="24">
        <v>45412.0</v>
      </c>
      <c r="C37" s="17" t="s">
        <v>96</v>
      </c>
      <c r="D37" s="20">
        <f>D23</f>
        <v>874330.7</v>
      </c>
      <c r="E37" s="6"/>
    </row>
    <row r="38" ht="14.25" customHeight="1">
      <c r="B38" s="24">
        <v>45412.0</v>
      </c>
      <c r="C38" s="17" t="s">
        <v>97</v>
      </c>
      <c r="D38" s="20">
        <f>D37</f>
        <v>874330.7</v>
      </c>
      <c r="E38" s="6"/>
    </row>
    <row r="39" ht="14.25" customHeight="1"/>
    <row r="40" ht="14.25" customHeight="1">
      <c r="C40" s="25" t="s">
        <v>104</v>
      </c>
    </row>
    <row r="41" ht="14.25" customHeight="1">
      <c r="C41" s="23" t="s">
        <v>105</v>
      </c>
    </row>
    <row r="42" ht="14.25" customHeight="1"/>
    <row r="43" ht="14.25" customHeight="1"/>
    <row r="44" ht="14.25" customHeight="1"/>
    <row r="45" ht="14.25" customHeight="1">
      <c r="E45" s="26" t="s">
        <v>98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2">
    <mergeCell ref="B2:E2"/>
    <mergeCell ref="B3:E3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37.29"/>
    <col customWidth="1" min="4" max="4" width="25.29"/>
    <col customWidth="1" min="5" max="5" width="17.0"/>
    <col customWidth="1" min="6" max="26" width="8.71"/>
  </cols>
  <sheetData>
    <row r="1" ht="14.25" customHeight="1"/>
    <row r="2" ht="14.25" customHeight="1">
      <c r="B2" s="13" t="s">
        <v>76</v>
      </c>
      <c r="C2" s="14"/>
      <c r="D2" s="14"/>
      <c r="E2" s="15"/>
    </row>
    <row r="3" ht="14.25" customHeight="1">
      <c r="B3" s="16" t="s">
        <v>106</v>
      </c>
      <c r="C3" s="14"/>
      <c r="D3" s="14"/>
      <c r="E3" s="15"/>
    </row>
    <row r="4" ht="14.25" customHeight="1">
      <c r="B4" s="17" t="s">
        <v>78</v>
      </c>
      <c r="C4" s="17" t="s">
        <v>79</v>
      </c>
      <c r="D4" s="18" t="s">
        <v>80</v>
      </c>
      <c r="E4" s="18" t="s">
        <v>81</v>
      </c>
    </row>
    <row r="5" ht="14.25" customHeight="1">
      <c r="B5" s="19">
        <v>45474.0</v>
      </c>
      <c r="C5" s="17" t="s">
        <v>82</v>
      </c>
      <c r="D5" s="20">
        <v>874330.7</v>
      </c>
      <c r="E5" s="6"/>
    </row>
    <row r="6" ht="14.25" customHeight="1">
      <c r="B6" s="21"/>
      <c r="C6" s="5" t="s">
        <v>83</v>
      </c>
      <c r="D6" s="6">
        <v>0.0</v>
      </c>
      <c r="E6" s="6"/>
    </row>
    <row r="7" ht="14.25" customHeight="1">
      <c r="B7" s="21"/>
      <c r="C7" s="5" t="s">
        <v>84</v>
      </c>
      <c r="D7" s="6">
        <f>D5-D6</f>
        <v>874330.7</v>
      </c>
      <c r="E7" s="6"/>
    </row>
    <row r="8" ht="14.25" customHeight="1">
      <c r="B8" s="21"/>
      <c r="C8" s="5"/>
      <c r="D8" s="6"/>
      <c r="E8" s="6"/>
    </row>
    <row r="9" ht="14.25" customHeight="1">
      <c r="B9" s="21"/>
      <c r="C9" s="17" t="s">
        <v>85</v>
      </c>
      <c r="D9" s="6"/>
      <c r="E9" s="6"/>
    </row>
    <row r="10" ht="14.25" customHeight="1">
      <c r="B10" s="21"/>
      <c r="C10" s="5" t="s">
        <v>5</v>
      </c>
      <c r="D10" s="6">
        <v>80600.0</v>
      </c>
      <c r="E10" s="6"/>
    </row>
    <row r="11" ht="14.25" customHeight="1">
      <c r="B11" s="21"/>
      <c r="C11" s="5"/>
      <c r="D11" s="6"/>
      <c r="E11" s="6"/>
    </row>
    <row r="12" ht="14.25" customHeight="1">
      <c r="B12" s="21"/>
      <c r="C12" s="17" t="s">
        <v>86</v>
      </c>
      <c r="D12" s="20">
        <f>SUM(D10)</f>
        <v>80600</v>
      </c>
      <c r="E12" s="6"/>
    </row>
    <row r="13" ht="14.25" customHeight="1">
      <c r="B13" s="21"/>
      <c r="C13" s="17" t="s">
        <v>87</v>
      </c>
      <c r="D13" s="20">
        <f>D5+D12</f>
        <v>954930.7</v>
      </c>
      <c r="E13" s="6"/>
    </row>
    <row r="14" ht="14.25" customHeight="1">
      <c r="B14" s="21"/>
      <c r="C14" s="5"/>
      <c r="D14" s="6"/>
      <c r="E14" s="6"/>
    </row>
    <row r="15" ht="14.25" customHeight="1">
      <c r="B15" s="21"/>
      <c r="C15" s="17" t="s">
        <v>88</v>
      </c>
      <c r="D15" s="6"/>
      <c r="E15" s="6"/>
    </row>
    <row r="16" ht="14.25" customHeight="1">
      <c r="B16" s="19"/>
      <c r="C16" s="5" t="s">
        <v>8</v>
      </c>
      <c r="D16" s="6"/>
      <c r="E16" s="6">
        <v>11000.0</v>
      </c>
    </row>
    <row r="17" ht="14.25" customHeight="1">
      <c r="B17" s="19"/>
      <c r="C17" s="5" t="s">
        <v>25</v>
      </c>
      <c r="D17" s="6"/>
      <c r="E17" s="6">
        <v>27500.0</v>
      </c>
    </row>
    <row r="18" ht="14.25" customHeight="1">
      <c r="B18" s="19"/>
      <c r="C18" s="5" t="s">
        <v>10</v>
      </c>
      <c r="D18" s="6"/>
      <c r="E18" s="6">
        <v>7178.0</v>
      </c>
    </row>
    <row r="19" ht="14.25" customHeight="1">
      <c r="B19" s="19"/>
      <c r="C19" s="5" t="s">
        <v>9</v>
      </c>
      <c r="D19" s="6"/>
      <c r="E19" s="6">
        <v>9042.0</v>
      </c>
    </row>
    <row r="20" ht="14.25" customHeight="1">
      <c r="B20" s="21"/>
      <c r="C20" s="17"/>
      <c r="D20" s="6"/>
      <c r="E20" s="20"/>
    </row>
    <row r="21" ht="14.25" customHeight="1">
      <c r="B21" s="21"/>
      <c r="C21" s="17" t="s">
        <v>89</v>
      </c>
      <c r="D21" s="6"/>
      <c r="E21" s="20">
        <f>SUM(E16:E19)</f>
        <v>54720</v>
      </c>
    </row>
    <row r="22" ht="14.25" customHeight="1">
      <c r="B22" s="19">
        <v>45504.0</v>
      </c>
      <c r="C22" s="17" t="s">
        <v>90</v>
      </c>
      <c r="D22" s="20">
        <f>D13-E21</f>
        <v>900210.7</v>
      </c>
      <c r="E22" s="6"/>
    </row>
    <row r="23" ht="14.25" customHeight="1">
      <c r="B23" s="21"/>
      <c r="C23" s="17"/>
      <c r="D23" s="20"/>
      <c r="E23" s="6"/>
    </row>
    <row r="24" ht="14.25" customHeight="1">
      <c r="B24" s="21"/>
      <c r="C24" s="17" t="s">
        <v>91</v>
      </c>
      <c r="D24" s="6"/>
      <c r="E24" s="20"/>
    </row>
    <row r="25" ht="14.25" customHeight="1">
      <c r="B25" s="21"/>
      <c r="C25" s="17" t="s">
        <v>107</v>
      </c>
      <c r="D25" s="6"/>
      <c r="E25" s="20">
        <v>0.0</v>
      </c>
    </row>
    <row r="26" ht="14.25" customHeight="1">
      <c r="B26" s="21"/>
      <c r="C26" s="17" t="s">
        <v>108</v>
      </c>
      <c r="D26" s="6"/>
      <c r="E26" s="20">
        <v>3991.0</v>
      </c>
    </row>
    <row r="27" ht="14.25" customHeight="1">
      <c r="B27" s="19">
        <v>45475.0</v>
      </c>
      <c r="C27" s="5" t="s">
        <v>11</v>
      </c>
      <c r="D27" s="6"/>
      <c r="E27" s="6">
        <v>1500.0</v>
      </c>
      <c r="K27" s="22"/>
    </row>
    <row r="28" ht="14.25" customHeight="1">
      <c r="B28" s="19">
        <v>45475.0</v>
      </c>
      <c r="C28" s="5" t="s">
        <v>12</v>
      </c>
      <c r="D28" s="6"/>
      <c r="E28" s="6">
        <v>500.0</v>
      </c>
    </row>
    <row r="29" ht="14.25" customHeight="1">
      <c r="B29" s="19">
        <v>45477.0</v>
      </c>
      <c r="C29" s="5" t="s">
        <v>28</v>
      </c>
      <c r="D29" s="6"/>
      <c r="E29" s="6">
        <v>4350.0</v>
      </c>
    </row>
    <row r="30" ht="14.25" customHeight="1">
      <c r="B30" s="19">
        <v>45481.0</v>
      </c>
      <c r="C30" s="5" t="s">
        <v>29</v>
      </c>
      <c r="D30" s="6"/>
      <c r="E30" s="6">
        <v>3000.0</v>
      </c>
    </row>
    <row r="31" ht="14.25" customHeight="1">
      <c r="B31" s="19">
        <v>45488.0</v>
      </c>
      <c r="C31" s="5" t="s">
        <v>22</v>
      </c>
      <c r="D31" s="6"/>
      <c r="E31" s="6">
        <v>1000.0</v>
      </c>
    </row>
    <row r="32" ht="14.25" customHeight="1">
      <c r="B32" s="19"/>
      <c r="C32" s="5"/>
      <c r="D32" s="6"/>
      <c r="E32" s="6"/>
    </row>
    <row r="33" ht="14.25" customHeight="1">
      <c r="B33" s="5"/>
      <c r="C33" s="17" t="s">
        <v>94</v>
      </c>
      <c r="D33" s="6"/>
      <c r="E33" s="20">
        <f>sum(E27:E31)</f>
        <v>10350</v>
      </c>
    </row>
    <row r="34" ht="14.25" customHeight="1">
      <c r="B34" s="5"/>
      <c r="C34" s="17"/>
      <c r="D34" s="6"/>
      <c r="E34" s="20"/>
    </row>
    <row r="35" ht="14.25" customHeight="1">
      <c r="B35" s="24"/>
      <c r="C35" s="17" t="s">
        <v>95</v>
      </c>
      <c r="D35" s="20">
        <f>E25+E26-E33</f>
        <v>-6359</v>
      </c>
      <c r="E35" s="20"/>
    </row>
    <row r="36" ht="14.25" customHeight="1">
      <c r="B36" s="5"/>
      <c r="C36" s="5"/>
      <c r="D36" s="6"/>
      <c r="E36" s="6"/>
    </row>
    <row r="37" ht="14.25" customHeight="1">
      <c r="B37" s="24">
        <v>45504.0</v>
      </c>
      <c r="C37" s="17" t="s">
        <v>96</v>
      </c>
      <c r="D37" s="20">
        <f>D22</f>
        <v>900210.7</v>
      </c>
      <c r="E37" s="6"/>
    </row>
    <row r="38" ht="14.25" customHeight="1">
      <c r="B38" s="24">
        <v>45504.0</v>
      </c>
      <c r="C38" s="17" t="s">
        <v>97</v>
      </c>
      <c r="D38" s="20">
        <f>D37</f>
        <v>900210.7</v>
      </c>
      <c r="E38" s="6"/>
    </row>
    <row r="39" ht="14.25" customHeight="1"/>
    <row r="40" ht="14.25" customHeight="1">
      <c r="C40" s="25" t="s">
        <v>109</v>
      </c>
    </row>
    <row r="41" ht="14.25" customHeight="1">
      <c r="C41" s="28" t="s">
        <v>105</v>
      </c>
    </row>
    <row r="42" ht="14.25" customHeight="1"/>
    <row r="43" ht="14.25" customHeight="1">
      <c r="E43" s="26" t="s">
        <v>98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2">
    <mergeCell ref="B2:E2"/>
    <mergeCell ref="B3:E3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37.29"/>
    <col customWidth="1" min="4" max="4" width="25.29"/>
    <col customWidth="1" min="5" max="5" width="17.0"/>
    <col customWidth="1" min="6" max="26" width="8.71"/>
  </cols>
  <sheetData>
    <row r="1" ht="14.25" customHeight="1"/>
    <row r="2" ht="14.25" customHeight="1">
      <c r="B2" s="13" t="s">
        <v>76</v>
      </c>
      <c r="C2" s="14"/>
      <c r="D2" s="14"/>
      <c r="E2" s="15"/>
    </row>
    <row r="3" ht="14.25" customHeight="1">
      <c r="B3" s="16" t="s">
        <v>102</v>
      </c>
      <c r="C3" s="14"/>
      <c r="D3" s="14"/>
      <c r="E3" s="15"/>
    </row>
    <row r="4" ht="14.25" customHeight="1">
      <c r="B4" s="17" t="s">
        <v>78</v>
      </c>
      <c r="C4" s="17" t="s">
        <v>79</v>
      </c>
      <c r="D4" s="18" t="s">
        <v>80</v>
      </c>
      <c r="E4" s="18" t="s">
        <v>81</v>
      </c>
    </row>
    <row r="5" ht="14.25" customHeight="1">
      <c r="B5" s="29">
        <v>45505.0</v>
      </c>
      <c r="C5" s="17" t="s">
        <v>82</v>
      </c>
      <c r="D5" s="20">
        <v>900210.7</v>
      </c>
      <c r="E5" s="6"/>
    </row>
    <row r="6" ht="14.25" customHeight="1">
      <c r="B6" s="21"/>
      <c r="C6" s="5" t="s">
        <v>83</v>
      </c>
      <c r="D6" s="6">
        <v>0.0</v>
      </c>
      <c r="E6" s="6"/>
    </row>
    <row r="7" ht="14.25" customHeight="1">
      <c r="B7" s="21"/>
      <c r="C7" s="5" t="s">
        <v>84</v>
      </c>
      <c r="D7" s="6">
        <f>D5-D6</f>
        <v>900210.7</v>
      </c>
      <c r="E7" s="6"/>
    </row>
    <row r="8" ht="14.25" customHeight="1">
      <c r="B8" s="21"/>
      <c r="C8" s="5"/>
      <c r="D8" s="6"/>
      <c r="E8" s="6"/>
    </row>
    <row r="9" ht="14.25" customHeight="1">
      <c r="B9" s="21"/>
      <c r="C9" s="17" t="s">
        <v>85</v>
      </c>
      <c r="D9" s="6"/>
      <c r="E9" s="6"/>
    </row>
    <row r="10" ht="14.25" customHeight="1">
      <c r="B10" s="21"/>
      <c r="C10" s="5" t="s">
        <v>5</v>
      </c>
      <c r="D10" s="6">
        <v>65000.0</v>
      </c>
      <c r="E10" s="6"/>
    </row>
    <row r="11" ht="14.25" customHeight="1">
      <c r="B11" s="21"/>
      <c r="C11" s="5"/>
      <c r="D11" s="6"/>
      <c r="E11" s="6"/>
    </row>
    <row r="12" ht="14.25" customHeight="1">
      <c r="B12" s="21"/>
      <c r="C12" s="17" t="s">
        <v>86</v>
      </c>
      <c r="D12" s="20">
        <f>SUM(D10)</f>
        <v>65000</v>
      </c>
      <c r="E12" s="6"/>
    </row>
    <row r="13" ht="14.25" customHeight="1">
      <c r="B13" s="21"/>
      <c r="C13" s="17" t="s">
        <v>87</v>
      </c>
      <c r="D13" s="20">
        <f>D5+D12</f>
        <v>965210.7</v>
      </c>
      <c r="E13" s="6"/>
    </row>
    <row r="14" ht="14.25" customHeight="1">
      <c r="B14" s="21"/>
      <c r="C14" s="5"/>
      <c r="D14" s="6"/>
      <c r="E14" s="6"/>
    </row>
    <row r="15" ht="14.25" customHeight="1">
      <c r="B15" s="21"/>
      <c r="C15" s="17" t="s">
        <v>88</v>
      </c>
      <c r="D15" s="6"/>
      <c r="E15" s="6"/>
    </row>
    <row r="16" ht="14.25" customHeight="1">
      <c r="B16" s="19">
        <v>45507.0</v>
      </c>
      <c r="C16" s="5" t="s">
        <v>100</v>
      </c>
      <c r="D16" s="6"/>
      <c r="E16" s="6">
        <v>15000.0</v>
      </c>
    </row>
    <row r="17" ht="14.25" customHeight="1">
      <c r="B17" s="19">
        <v>45510.0</v>
      </c>
      <c r="C17" s="5" t="s">
        <v>8</v>
      </c>
      <c r="D17" s="6"/>
      <c r="E17" s="6">
        <v>11000.0</v>
      </c>
    </row>
    <row r="18" ht="14.25" customHeight="1">
      <c r="B18" s="19">
        <v>45512.0</v>
      </c>
      <c r="C18" s="5" t="s">
        <v>25</v>
      </c>
      <c r="D18" s="6"/>
      <c r="E18" s="6">
        <v>27500.0</v>
      </c>
    </row>
    <row r="19" ht="14.25" customHeight="1">
      <c r="B19" s="19">
        <v>45531.0</v>
      </c>
      <c r="C19" s="5" t="s">
        <v>31</v>
      </c>
      <c r="D19" s="6"/>
      <c r="E19" s="6">
        <v>7486.0</v>
      </c>
    </row>
    <row r="20" ht="14.25" customHeight="1">
      <c r="B20" s="19">
        <v>45520.0</v>
      </c>
      <c r="C20" s="5" t="s">
        <v>32</v>
      </c>
      <c r="D20" s="6"/>
      <c r="E20" s="6">
        <v>8024.0</v>
      </c>
    </row>
    <row r="21" ht="14.25" customHeight="1">
      <c r="B21" s="19">
        <v>45521.0</v>
      </c>
      <c r="C21" s="5" t="s">
        <v>9</v>
      </c>
      <c r="D21" s="6"/>
      <c r="E21" s="6">
        <v>10609.0</v>
      </c>
    </row>
    <row r="22" ht="14.25" customHeight="1">
      <c r="B22" s="21"/>
      <c r="C22" s="17"/>
      <c r="D22" s="6"/>
      <c r="E22" s="20"/>
    </row>
    <row r="23" ht="14.25" customHeight="1">
      <c r="B23" s="21"/>
      <c r="C23" s="17" t="s">
        <v>89</v>
      </c>
      <c r="D23" s="6"/>
      <c r="E23" s="20">
        <f>SUM(E16:E21)</f>
        <v>79619</v>
      </c>
    </row>
    <row r="24" ht="14.25" customHeight="1">
      <c r="B24" s="29">
        <v>11566.0</v>
      </c>
      <c r="C24" s="17" t="s">
        <v>90</v>
      </c>
      <c r="D24" s="20">
        <f>D13-E23</f>
        <v>885591.7</v>
      </c>
      <c r="E24" s="6"/>
    </row>
    <row r="25" ht="14.25" customHeight="1">
      <c r="B25" s="21"/>
      <c r="C25" s="17"/>
      <c r="D25" s="20"/>
      <c r="E25" s="6"/>
    </row>
    <row r="26" ht="14.25" customHeight="1">
      <c r="B26" s="21"/>
      <c r="C26" s="17" t="s">
        <v>91</v>
      </c>
      <c r="D26" s="6"/>
      <c r="E26" s="20"/>
    </row>
    <row r="27" ht="14.25" customHeight="1">
      <c r="B27" s="21"/>
      <c r="C27" s="17" t="s">
        <v>110</v>
      </c>
      <c r="D27" s="6"/>
      <c r="E27" s="6">
        <v>15000.0</v>
      </c>
    </row>
    <row r="28" ht="14.25" customHeight="1">
      <c r="B28" s="21"/>
      <c r="C28" s="17" t="s">
        <v>111</v>
      </c>
      <c r="D28" s="6"/>
      <c r="E28" s="20">
        <f>July24!D35</f>
        <v>-6359</v>
      </c>
    </row>
    <row r="29" ht="14.25" customHeight="1">
      <c r="B29" s="19"/>
      <c r="C29" s="5"/>
      <c r="D29" s="6"/>
      <c r="E29" s="6"/>
      <c r="K29" s="22"/>
    </row>
    <row r="30" ht="14.25" customHeight="1">
      <c r="B30" s="19">
        <v>45506.0</v>
      </c>
      <c r="C30" s="5" t="s">
        <v>11</v>
      </c>
      <c r="D30" s="6"/>
      <c r="E30" s="6">
        <v>1500.0</v>
      </c>
      <c r="K30" s="22"/>
    </row>
    <row r="31" ht="14.25" customHeight="1">
      <c r="B31" s="19">
        <v>45506.0</v>
      </c>
      <c r="C31" s="5" t="s">
        <v>12</v>
      </c>
      <c r="D31" s="6"/>
      <c r="E31" s="6">
        <v>500.0</v>
      </c>
    </row>
    <row r="32" ht="14.25" customHeight="1">
      <c r="B32" s="19">
        <v>45507.0</v>
      </c>
      <c r="C32" s="5" t="s">
        <v>33</v>
      </c>
      <c r="D32" s="6"/>
      <c r="E32" s="6">
        <v>485.0</v>
      </c>
    </row>
    <row r="33" ht="14.25" customHeight="1">
      <c r="B33" s="19"/>
      <c r="C33" s="5"/>
      <c r="D33" s="6"/>
      <c r="E33" s="6"/>
    </row>
    <row r="34" ht="14.25" customHeight="1">
      <c r="B34" s="19"/>
      <c r="C34" s="5"/>
      <c r="D34" s="6"/>
      <c r="E34" s="6"/>
    </row>
    <row r="35" ht="14.25" customHeight="1">
      <c r="B35" s="5"/>
      <c r="C35" s="17" t="s">
        <v>94</v>
      </c>
      <c r="D35" s="6"/>
      <c r="E35" s="20">
        <f>sum(E30:E33)</f>
        <v>2485</v>
      </c>
    </row>
    <row r="36" ht="14.25" customHeight="1">
      <c r="B36" s="5"/>
      <c r="C36" s="17"/>
      <c r="D36" s="6"/>
      <c r="E36" s="20"/>
    </row>
    <row r="37" ht="14.25" customHeight="1">
      <c r="B37" s="24"/>
      <c r="C37" s="17" t="s">
        <v>95</v>
      </c>
      <c r="D37" s="20">
        <f>E27+E28-E35</f>
        <v>6156</v>
      </c>
      <c r="E37" s="20"/>
    </row>
    <row r="38" ht="14.25" customHeight="1">
      <c r="B38" s="5"/>
      <c r="C38" s="5"/>
      <c r="D38" s="6"/>
      <c r="E38" s="6"/>
    </row>
    <row r="39" ht="14.25" customHeight="1">
      <c r="B39" s="24">
        <v>45535.0</v>
      </c>
      <c r="C39" s="17" t="s">
        <v>96</v>
      </c>
      <c r="D39" s="20">
        <f>D24</f>
        <v>885591.7</v>
      </c>
      <c r="E39" s="6"/>
    </row>
    <row r="40" ht="14.25" customHeight="1">
      <c r="B40" s="24">
        <v>45535.0</v>
      </c>
      <c r="C40" s="17" t="s">
        <v>97</v>
      </c>
      <c r="D40" s="20">
        <f>D39</f>
        <v>885591.7</v>
      </c>
      <c r="E40" s="6"/>
    </row>
    <row r="41" ht="14.25" customHeight="1"/>
    <row r="42" ht="14.25" customHeight="1">
      <c r="C42" s="25" t="s">
        <v>109</v>
      </c>
    </row>
    <row r="43" ht="14.25" customHeight="1">
      <c r="C43" s="28" t="s">
        <v>105</v>
      </c>
    </row>
    <row r="44" ht="14.25" customHeight="1"/>
    <row r="45" ht="14.25" customHeight="1">
      <c r="E45" s="26" t="s">
        <v>98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2">
    <mergeCell ref="B2:E2"/>
    <mergeCell ref="B3:E3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37.29"/>
    <col customWidth="1" min="4" max="4" width="25.29"/>
    <col customWidth="1" min="5" max="5" width="17.0"/>
    <col customWidth="1" min="6" max="26" width="8.71"/>
  </cols>
  <sheetData>
    <row r="1" ht="14.25" customHeight="1"/>
    <row r="2" ht="14.25" customHeight="1">
      <c r="B2" s="13" t="s">
        <v>76</v>
      </c>
      <c r="C2" s="14"/>
      <c r="D2" s="14"/>
      <c r="E2" s="15"/>
    </row>
    <row r="3" ht="14.25" customHeight="1">
      <c r="B3" s="16" t="s">
        <v>112</v>
      </c>
      <c r="C3" s="14"/>
      <c r="D3" s="14"/>
      <c r="E3" s="15"/>
    </row>
    <row r="4" ht="14.25" customHeight="1">
      <c r="B4" s="17" t="s">
        <v>78</v>
      </c>
      <c r="C4" s="17" t="s">
        <v>79</v>
      </c>
      <c r="D4" s="18" t="s">
        <v>80</v>
      </c>
      <c r="E4" s="18" t="s">
        <v>81</v>
      </c>
    </row>
    <row r="5" ht="14.25" customHeight="1">
      <c r="B5" s="29">
        <v>45536.0</v>
      </c>
      <c r="C5" s="17" t="s">
        <v>82</v>
      </c>
      <c r="D5" s="20">
        <v>885591.7</v>
      </c>
      <c r="E5" s="6"/>
    </row>
    <row r="6" ht="14.25" customHeight="1">
      <c r="B6" s="21"/>
      <c r="C6" s="5" t="s">
        <v>83</v>
      </c>
      <c r="D6" s="6">
        <v>0.0</v>
      </c>
      <c r="E6" s="6"/>
    </row>
    <row r="7" ht="14.25" customHeight="1">
      <c r="B7" s="21"/>
      <c r="C7" s="5" t="s">
        <v>84</v>
      </c>
      <c r="D7" s="6">
        <f>D5-D6</f>
        <v>885591.7</v>
      </c>
      <c r="E7" s="6"/>
    </row>
    <row r="8" ht="14.25" customHeight="1">
      <c r="B8" s="21"/>
      <c r="C8" s="5"/>
      <c r="D8" s="6"/>
      <c r="E8" s="6"/>
    </row>
    <row r="9" ht="14.25" customHeight="1">
      <c r="B9" s="21"/>
      <c r="C9" s="17" t="s">
        <v>85</v>
      </c>
      <c r="D9" s="6"/>
      <c r="E9" s="6"/>
    </row>
    <row r="10" ht="14.25" customHeight="1">
      <c r="B10" s="21"/>
      <c r="C10" s="5" t="s">
        <v>5</v>
      </c>
      <c r="D10" s="6">
        <v>72800.0</v>
      </c>
      <c r="E10" s="6"/>
    </row>
    <row r="11" ht="14.25" customHeight="1">
      <c r="B11" s="21"/>
      <c r="C11" s="5"/>
      <c r="D11" s="6"/>
      <c r="E11" s="6"/>
    </row>
    <row r="12" ht="14.25" customHeight="1">
      <c r="B12" s="21"/>
      <c r="C12" s="17" t="s">
        <v>86</v>
      </c>
      <c r="D12" s="20">
        <f>SUM(D10)</f>
        <v>72800</v>
      </c>
      <c r="E12" s="6"/>
    </row>
    <row r="13" ht="14.25" customHeight="1">
      <c r="B13" s="21"/>
      <c r="C13" s="17" t="s">
        <v>87</v>
      </c>
      <c r="D13" s="20">
        <f>D5+D12</f>
        <v>958391.7</v>
      </c>
      <c r="E13" s="6"/>
    </row>
    <row r="14" ht="14.25" customHeight="1">
      <c r="B14" s="21"/>
      <c r="C14" s="5"/>
      <c r="D14" s="6"/>
      <c r="E14" s="6"/>
    </row>
    <row r="15" ht="14.25" customHeight="1">
      <c r="B15" s="21"/>
      <c r="C15" s="17" t="s">
        <v>88</v>
      </c>
      <c r="D15" s="6"/>
      <c r="E15" s="6"/>
    </row>
    <row r="16" ht="14.25" customHeight="1">
      <c r="B16" s="29">
        <v>45541.0</v>
      </c>
      <c r="C16" s="5" t="s">
        <v>8</v>
      </c>
      <c r="D16" s="6"/>
      <c r="E16" s="6">
        <v>11000.0</v>
      </c>
    </row>
    <row r="17" ht="14.25" customHeight="1">
      <c r="B17" s="29">
        <v>45542.0</v>
      </c>
      <c r="C17" s="5" t="s">
        <v>25</v>
      </c>
      <c r="D17" s="6"/>
      <c r="E17" s="6">
        <v>27500.0</v>
      </c>
    </row>
    <row r="18" ht="14.25" customHeight="1">
      <c r="B18" s="29">
        <v>45562.0</v>
      </c>
      <c r="C18" s="5" t="s">
        <v>31</v>
      </c>
      <c r="D18" s="6"/>
      <c r="E18" s="6">
        <v>7457.0</v>
      </c>
    </row>
    <row r="19" ht="14.25" customHeight="1">
      <c r="B19" s="19">
        <v>45554.0</v>
      </c>
      <c r="C19" s="5" t="s">
        <v>35</v>
      </c>
      <c r="D19" s="6"/>
      <c r="E19" s="6">
        <v>15000.0</v>
      </c>
    </row>
    <row r="20" ht="14.25" customHeight="1">
      <c r="B20" s="19">
        <v>45552.0</v>
      </c>
      <c r="C20" s="5" t="s">
        <v>9</v>
      </c>
      <c r="D20" s="6"/>
      <c r="E20" s="6">
        <v>10328.0</v>
      </c>
    </row>
    <row r="21" ht="14.25" customHeight="1">
      <c r="B21" s="21"/>
      <c r="C21" s="17"/>
      <c r="D21" s="6"/>
      <c r="E21" s="20"/>
    </row>
    <row r="22" ht="14.25" customHeight="1">
      <c r="B22" s="21"/>
      <c r="C22" s="17" t="s">
        <v>89</v>
      </c>
      <c r="D22" s="6"/>
      <c r="E22" s="20">
        <f>SUM(E16:E20)</f>
        <v>71285</v>
      </c>
    </row>
    <row r="23" ht="14.25" customHeight="1">
      <c r="B23" s="29"/>
      <c r="C23" s="17" t="s">
        <v>90</v>
      </c>
      <c r="D23" s="20">
        <f>D13-E22</f>
        <v>887106.7</v>
      </c>
      <c r="E23" s="6"/>
    </row>
    <row r="24" ht="14.25" customHeight="1">
      <c r="B24" s="21"/>
      <c r="C24" s="17"/>
      <c r="D24" s="20"/>
      <c r="E24" s="6"/>
    </row>
    <row r="25" ht="14.25" customHeight="1">
      <c r="B25" s="21"/>
      <c r="C25" s="17" t="s">
        <v>91</v>
      </c>
      <c r="D25" s="6"/>
      <c r="E25" s="20"/>
    </row>
    <row r="26" ht="14.25" customHeight="1">
      <c r="B26" s="21"/>
      <c r="C26" s="17" t="s">
        <v>113</v>
      </c>
      <c r="D26" s="6"/>
      <c r="E26" s="6">
        <v>0.0</v>
      </c>
    </row>
    <row r="27" ht="14.25" customHeight="1">
      <c r="B27" s="21"/>
      <c r="C27" s="17" t="s">
        <v>114</v>
      </c>
      <c r="D27" s="6"/>
      <c r="E27" s="20">
        <v>6156.0</v>
      </c>
    </row>
    <row r="28" ht="14.25" customHeight="1">
      <c r="B28" s="19"/>
      <c r="C28" s="5"/>
      <c r="D28" s="6"/>
      <c r="E28" s="6"/>
      <c r="K28" s="22"/>
    </row>
    <row r="29" ht="14.25" customHeight="1">
      <c r="B29" s="19">
        <v>45537.0</v>
      </c>
      <c r="C29" s="5" t="s">
        <v>11</v>
      </c>
      <c r="D29" s="6"/>
      <c r="E29" s="6">
        <v>1500.0</v>
      </c>
      <c r="K29" s="22"/>
    </row>
    <row r="30" ht="14.25" customHeight="1">
      <c r="B30" s="19">
        <v>45537.0</v>
      </c>
      <c r="C30" s="5" t="s">
        <v>12</v>
      </c>
      <c r="D30" s="6"/>
      <c r="E30" s="6">
        <v>500.0</v>
      </c>
    </row>
    <row r="31" ht="14.25" customHeight="1">
      <c r="B31" s="19">
        <v>45547.0</v>
      </c>
      <c r="C31" s="5" t="s">
        <v>36</v>
      </c>
      <c r="D31" s="6"/>
      <c r="E31" s="6">
        <v>400.0</v>
      </c>
    </row>
    <row r="32" ht="14.25" customHeight="1">
      <c r="B32" s="19">
        <v>45559.0</v>
      </c>
      <c r="C32" s="5" t="s">
        <v>37</v>
      </c>
      <c r="D32" s="6"/>
      <c r="E32" s="6">
        <v>1000.0</v>
      </c>
    </row>
    <row r="33" ht="14.25" customHeight="1">
      <c r="B33" s="19"/>
      <c r="C33" s="5"/>
      <c r="D33" s="6"/>
      <c r="E33" s="6"/>
    </row>
    <row r="34" ht="14.25" customHeight="1">
      <c r="B34" s="19"/>
      <c r="C34" s="5"/>
      <c r="D34" s="6"/>
      <c r="E34" s="6"/>
    </row>
    <row r="35" ht="14.25" customHeight="1">
      <c r="B35" s="5"/>
      <c r="C35" s="17" t="s">
        <v>94</v>
      </c>
      <c r="D35" s="6"/>
      <c r="E35" s="20">
        <f>sum(E29:E32)</f>
        <v>3400</v>
      </c>
    </row>
    <row r="36" ht="14.25" customHeight="1">
      <c r="B36" s="5"/>
      <c r="C36" s="17"/>
      <c r="D36" s="6"/>
      <c r="E36" s="20"/>
    </row>
    <row r="37" ht="14.25" customHeight="1">
      <c r="B37" s="24"/>
      <c r="C37" s="17" t="s">
        <v>95</v>
      </c>
      <c r="D37" s="20">
        <f>E26+E27-E35</f>
        <v>2756</v>
      </c>
      <c r="E37" s="20"/>
    </row>
    <row r="38" ht="14.25" customHeight="1">
      <c r="B38" s="5"/>
      <c r="C38" s="5"/>
      <c r="D38" s="6"/>
      <c r="E38" s="6"/>
    </row>
    <row r="39" ht="14.25" customHeight="1">
      <c r="B39" s="19">
        <v>45565.0</v>
      </c>
      <c r="C39" s="17" t="s">
        <v>96</v>
      </c>
      <c r="D39" s="20">
        <f>D23</f>
        <v>887106.7</v>
      </c>
      <c r="E39" s="6"/>
    </row>
    <row r="40" ht="14.25" customHeight="1">
      <c r="B40" s="19">
        <v>45565.0</v>
      </c>
      <c r="C40" s="17" t="s">
        <v>97</v>
      </c>
      <c r="D40" s="20">
        <f>D39</f>
        <v>887106.7</v>
      </c>
      <c r="E40" s="6"/>
    </row>
    <row r="41" ht="14.25" customHeight="1"/>
    <row r="42" ht="14.25" customHeight="1">
      <c r="C42" s="25"/>
    </row>
    <row r="43" ht="14.25" customHeight="1">
      <c r="C43" s="28"/>
    </row>
    <row r="44" ht="14.25" customHeight="1"/>
    <row r="45" ht="14.25" customHeight="1">
      <c r="E45" s="26" t="s">
        <v>98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2">
    <mergeCell ref="B2:E2"/>
    <mergeCell ref="B3:E3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37.29"/>
    <col customWidth="1" min="4" max="4" width="25.29"/>
    <col customWidth="1" min="5" max="5" width="17.0"/>
    <col customWidth="1" min="6" max="26" width="8.71"/>
  </cols>
  <sheetData>
    <row r="1" ht="14.25" customHeight="1"/>
    <row r="2" ht="14.25" customHeight="1">
      <c r="B2" s="13" t="s">
        <v>76</v>
      </c>
      <c r="C2" s="14"/>
      <c r="D2" s="14"/>
      <c r="E2" s="15"/>
    </row>
    <row r="3" ht="14.25" customHeight="1">
      <c r="B3" s="16" t="s">
        <v>115</v>
      </c>
      <c r="C3" s="14"/>
      <c r="D3" s="14"/>
      <c r="E3" s="15"/>
    </row>
    <row r="4" ht="14.25" customHeight="1">
      <c r="B4" s="17" t="s">
        <v>78</v>
      </c>
      <c r="C4" s="17" t="s">
        <v>79</v>
      </c>
      <c r="D4" s="18" t="s">
        <v>80</v>
      </c>
      <c r="E4" s="18" t="s">
        <v>81</v>
      </c>
    </row>
    <row r="5" ht="14.25" customHeight="1">
      <c r="B5" s="29">
        <v>45566.0</v>
      </c>
      <c r="C5" s="17" t="s">
        <v>82</v>
      </c>
      <c r="D5" s="20">
        <v>887106.7</v>
      </c>
      <c r="E5" s="6"/>
    </row>
    <row r="6" ht="14.25" customHeight="1">
      <c r="B6" s="21"/>
      <c r="C6" s="5" t="s">
        <v>83</v>
      </c>
      <c r="D6" s="6">
        <v>0.0</v>
      </c>
      <c r="E6" s="6"/>
    </row>
    <row r="7" ht="14.25" customHeight="1">
      <c r="B7" s="21"/>
      <c r="C7" s="5" t="s">
        <v>84</v>
      </c>
      <c r="D7" s="6">
        <f>D5-D6</f>
        <v>887106.7</v>
      </c>
      <c r="E7" s="6"/>
    </row>
    <row r="8" ht="14.25" customHeight="1">
      <c r="B8" s="21"/>
      <c r="C8" s="5"/>
      <c r="D8" s="6"/>
      <c r="E8" s="6"/>
    </row>
    <row r="9" ht="14.25" customHeight="1">
      <c r="B9" s="21"/>
      <c r="C9" s="17" t="s">
        <v>85</v>
      </c>
      <c r="D9" s="6"/>
      <c r="E9" s="6"/>
    </row>
    <row r="10" ht="14.25" customHeight="1">
      <c r="B10" s="21"/>
      <c r="C10" s="5" t="s">
        <v>5</v>
      </c>
      <c r="D10" s="6">
        <v>72800.0</v>
      </c>
      <c r="E10" s="6"/>
    </row>
    <row r="11" ht="14.25" customHeight="1">
      <c r="B11" s="21"/>
      <c r="C11" s="5"/>
      <c r="D11" s="6"/>
      <c r="E11" s="6"/>
    </row>
    <row r="12" ht="14.25" customHeight="1">
      <c r="B12" s="21"/>
      <c r="C12" s="17" t="s">
        <v>86</v>
      </c>
      <c r="D12" s="20">
        <f>SUM(D10)</f>
        <v>72800</v>
      </c>
      <c r="E12" s="6"/>
    </row>
    <row r="13" ht="14.25" customHeight="1">
      <c r="B13" s="21"/>
      <c r="C13" s="17" t="s">
        <v>87</v>
      </c>
      <c r="D13" s="20">
        <f>D5+D12</f>
        <v>959906.7</v>
      </c>
      <c r="E13" s="6"/>
    </row>
    <row r="14" ht="14.25" customHeight="1">
      <c r="B14" s="21"/>
      <c r="C14" s="5"/>
      <c r="D14" s="6"/>
      <c r="E14" s="6"/>
    </row>
    <row r="15" ht="14.25" customHeight="1">
      <c r="B15" s="21"/>
      <c r="C15" s="17" t="s">
        <v>88</v>
      </c>
      <c r="D15" s="6"/>
      <c r="E15" s="6"/>
    </row>
    <row r="16" ht="14.25" customHeight="1">
      <c r="B16" s="21" t="s">
        <v>116</v>
      </c>
      <c r="C16" s="5" t="s">
        <v>8</v>
      </c>
      <c r="D16" s="6"/>
      <c r="E16" s="6">
        <v>11000.0</v>
      </c>
    </row>
    <row r="17" ht="14.25" customHeight="1">
      <c r="B17" s="19">
        <v>45572.0</v>
      </c>
      <c r="C17" s="5" t="s">
        <v>25</v>
      </c>
      <c r="D17" s="6"/>
      <c r="E17" s="6">
        <v>27500.0</v>
      </c>
    </row>
    <row r="18" ht="14.25" customHeight="1">
      <c r="B18" s="29">
        <v>45584.0</v>
      </c>
      <c r="C18" s="5" t="s">
        <v>31</v>
      </c>
      <c r="D18" s="6"/>
      <c r="E18" s="6">
        <v>7850.0</v>
      </c>
    </row>
    <row r="19" ht="14.25" customHeight="1">
      <c r="B19" s="19">
        <v>45594.0</v>
      </c>
      <c r="C19" s="5" t="s">
        <v>39</v>
      </c>
      <c r="D19" s="6"/>
      <c r="E19" s="6">
        <v>15680.0</v>
      </c>
    </row>
    <row r="20" ht="14.25" customHeight="1">
      <c r="B20" s="21" t="s">
        <v>117</v>
      </c>
      <c r="C20" s="5" t="s">
        <v>40</v>
      </c>
      <c r="D20" s="6"/>
      <c r="E20" s="6">
        <v>15000.0</v>
      </c>
    </row>
    <row r="21" ht="14.25" customHeight="1">
      <c r="B21" s="19">
        <v>45575.0</v>
      </c>
      <c r="C21" s="5" t="s">
        <v>9</v>
      </c>
      <c r="D21" s="7"/>
      <c r="E21" s="6">
        <v>9635.0</v>
      </c>
    </row>
    <row r="22" ht="14.25" customHeight="1">
      <c r="B22" s="19">
        <v>45590.0</v>
      </c>
      <c r="C22" s="5" t="s">
        <v>41</v>
      </c>
      <c r="D22" s="6"/>
      <c r="E22" s="6">
        <v>9649.0</v>
      </c>
    </row>
    <row r="23" ht="14.25" customHeight="1">
      <c r="B23" s="21"/>
      <c r="C23" s="17"/>
      <c r="D23" s="6"/>
      <c r="E23" s="20"/>
    </row>
    <row r="24" ht="14.25" customHeight="1">
      <c r="B24" s="21"/>
      <c r="C24" s="17" t="s">
        <v>89</v>
      </c>
      <c r="D24" s="6"/>
      <c r="E24" s="20">
        <f>SUM(E16:E22)</f>
        <v>96314</v>
      </c>
    </row>
    <row r="25" ht="14.25" customHeight="1">
      <c r="B25" s="29"/>
      <c r="C25" s="17" t="s">
        <v>90</v>
      </c>
      <c r="D25" s="20">
        <f>D13-E24</f>
        <v>863592.7</v>
      </c>
      <c r="E25" s="6"/>
    </row>
    <row r="26" ht="14.25" customHeight="1">
      <c r="B26" s="21"/>
      <c r="C26" s="17"/>
      <c r="D26" s="20"/>
      <c r="E26" s="6"/>
    </row>
    <row r="27" ht="14.25" customHeight="1">
      <c r="B27" s="21"/>
      <c r="C27" s="17" t="s">
        <v>91</v>
      </c>
      <c r="D27" s="6"/>
      <c r="E27" s="20"/>
    </row>
    <row r="28" ht="14.25" customHeight="1">
      <c r="B28" s="21"/>
      <c r="C28" s="17" t="s">
        <v>118</v>
      </c>
      <c r="D28" s="6"/>
      <c r="E28" s="6">
        <v>15000.0</v>
      </c>
    </row>
    <row r="29" ht="14.25" customHeight="1">
      <c r="B29" s="21"/>
      <c r="C29" s="17" t="s">
        <v>119</v>
      </c>
      <c r="D29" s="6"/>
      <c r="E29" s="20">
        <v>2756.0</v>
      </c>
    </row>
    <row r="30" ht="14.25" customHeight="1">
      <c r="B30" s="19"/>
      <c r="C30" s="5"/>
      <c r="D30" s="6"/>
      <c r="E30" s="6"/>
      <c r="K30" s="22"/>
    </row>
    <row r="31" ht="14.25" customHeight="1">
      <c r="B31" s="19">
        <v>45567.0</v>
      </c>
      <c r="C31" s="5" t="s">
        <v>11</v>
      </c>
      <c r="D31" s="6"/>
      <c r="E31" s="6">
        <v>1500.0</v>
      </c>
      <c r="K31" s="22"/>
    </row>
    <row r="32" ht="14.25" customHeight="1">
      <c r="B32" s="19">
        <v>45567.0</v>
      </c>
      <c r="C32" s="5" t="s">
        <v>12</v>
      </c>
      <c r="D32" s="6"/>
      <c r="E32" s="6">
        <v>500.0</v>
      </c>
    </row>
    <row r="33" ht="14.25" customHeight="1">
      <c r="B33" s="19">
        <v>45577.0</v>
      </c>
      <c r="C33" s="5" t="s">
        <v>42</v>
      </c>
      <c r="D33" s="6"/>
      <c r="E33" s="6">
        <v>11210.0</v>
      </c>
    </row>
    <row r="34" ht="14.25" customHeight="1">
      <c r="B34" s="19">
        <v>45575.0</v>
      </c>
      <c r="C34" s="5" t="s">
        <v>43</v>
      </c>
      <c r="D34" s="6"/>
      <c r="E34" s="6">
        <v>-2000.0</v>
      </c>
    </row>
    <row r="35" ht="14.25" customHeight="1">
      <c r="B35" s="19">
        <v>45590.0</v>
      </c>
      <c r="C35" s="5" t="s">
        <v>22</v>
      </c>
      <c r="D35" s="6"/>
      <c r="E35" s="6">
        <v>1000.0</v>
      </c>
    </row>
    <row r="36" ht="14.25" customHeight="1">
      <c r="B36" s="19">
        <v>45594.0</v>
      </c>
      <c r="C36" s="5" t="s">
        <v>44</v>
      </c>
      <c r="D36" s="6"/>
      <c r="E36" s="6">
        <v>9500.0</v>
      </c>
    </row>
    <row r="37" ht="14.25" customHeight="1">
      <c r="B37" s="5"/>
      <c r="C37" s="17" t="s">
        <v>94</v>
      </c>
      <c r="D37" s="6"/>
      <c r="E37" s="20">
        <f>sum(E31:E36)</f>
        <v>21710</v>
      </c>
    </row>
    <row r="38" ht="14.25" customHeight="1">
      <c r="B38" s="5"/>
      <c r="C38" s="17"/>
      <c r="D38" s="6"/>
      <c r="E38" s="20"/>
    </row>
    <row r="39" ht="14.25" customHeight="1">
      <c r="B39" s="24"/>
      <c r="C39" s="17" t="s">
        <v>95</v>
      </c>
      <c r="D39" s="20">
        <f>E28+E29-E37</f>
        <v>-3954</v>
      </c>
      <c r="E39" s="20"/>
    </row>
    <row r="40" ht="14.25" customHeight="1">
      <c r="B40" s="5"/>
      <c r="C40" s="5"/>
      <c r="D40" s="6"/>
      <c r="E40" s="6"/>
    </row>
    <row r="41" ht="14.25" customHeight="1">
      <c r="B41" s="24">
        <v>45596.0</v>
      </c>
      <c r="C41" s="17" t="s">
        <v>96</v>
      </c>
      <c r="D41" s="20">
        <f>D25</f>
        <v>863592.7</v>
      </c>
      <c r="E41" s="6"/>
    </row>
    <row r="42" ht="14.25" customHeight="1">
      <c r="B42" s="24">
        <v>45596.0</v>
      </c>
      <c r="C42" s="17" t="s">
        <v>97</v>
      </c>
      <c r="D42" s="20">
        <f>D41</f>
        <v>863592.7</v>
      </c>
      <c r="E42" s="6"/>
    </row>
    <row r="43" ht="14.25" customHeight="1"/>
    <row r="44" ht="14.25" customHeight="1">
      <c r="C44" s="25"/>
    </row>
    <row r="45" ht="14.25" customHeight="1">
      <c r="C45" s="28"/>
    </row>
    <row r="46" ht="14.25" customHeight="1"/>
    <row r="47" ht="14.25" customHeight="1">
      <c r="E47" s="26" t="s">
        <v>98</v>
      </c>
    </row>
    <row r="48" ht="14.25" customHeight="1"/>
    <row r="49" ht="14.25" customHeight="1"/>
    <row r="50" ht="14.25" customHeight="1"/>
    <row r="51" ht="14.25" customHeight="1"/>
    <row r="52" ht="14.25" customHeight="1">
      <c r="C52" s="30" t="s">
        <v>120</v>
      </c>
      <c r="D52" s="7"/>
    </row>
    <row r="53" ht="14.25" customHeight="1">
      <c r="C53" s="7" t="s">
        <v>121</v>
      </c>
      <c r="D53" s="7">
        <v>3560.0</v>
      </c>
    </row>
    <row r="54" ht="14.25" customHeight="1">
      <c r="C54" s="7" t="s">
        <v>122</v>
      </c>
      <c r="D54" s="7">
        <v>3150.0</v>
      </c>
    </row>
    <row r="55" ht="14.25" customHeight="1">
      <c r="C55" s="31" t="s">
        <v>66</v>
      </c>
      <c r="D55" s="7"/>
      <c r="I55" s="32"/>
    </row>
    <row r="56" ht="14.25" customHeight="1">
      <c r="C56" s="7" t="s">
        <v>123</v>
      </c>
      <c r="D56" s="7">
        <v>1000.0</v>
      </c>
    </row>
    <row r="57" ht="14.25" customHeight="1">
      <c r="C57" s="7" t="s">
        <v>124</v>
      </c>
      <c r="D57" s="7">
        <v>1000.0</v>
      </c>
    </row>
    <row r="58" ht="14.25" customHeight="1">
      <c r="C58" s="7" t="s">
        <v>125</v>
      </c>
      <c r="D58" s="7">
        <v>1500.0</v>
      </c>
    </row>
    <row r="59" ht="14.25" customHeight="1">
      <c r="C59" s="7" t="s">
        <v>126</v>
      </c>
      <c r="D59" s="7">
        <v>500.0</v>
      </c>
    </row>
    <row r="60" ht="14.25" customHeight="1">
      <c r="C60" s="7" t="s">
        <v>127</v>
      </c>
      <c r="D60" s="7">
        <v>500.0</v>
      </c>
    </row>
    <row r="61" ht="14.25" customHeight="1">
      <c r="C61" s="7"/>
      <c r="D61" s="7"/>
    </row>
    <row r="62" ht="14.25" customHeight="1">
      <c r="C62" s="31" t="s">
        <v>128</v>
      </c>
      <c r="D62" s="31">
        <f>SUM(D53:D60)</f>
        <v>11210</v>
      </c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2">
    <mergeCell ref="B2:E2"/>
    <mergeCell ref="B3:E3"/>
  </mergeCell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37.29"/>
    <col customWidth="1" min="4" max="4" width="25.29"/>
    <col customWidth="1" min="5" max="5" width="17.0"/>
    <col customWidth="1" min="6" max="26" width="8.71"/>
  </cols>
  <sheetData>
    <row r="1" ht="14.25" customHeight="1"/>
    <row r="2" ht="14.25" customHeight="1">
      <c r="B2" s="13" t="s">
        <v>76</v>
      </c>
      <c r="C2" s="14"/>
      <c r="D2" s="14"/>
      <c r="E2" s="15"/>
    </row>
    <row r="3" ht="14.25" customHeight="1">
      <c r="B3" s="16" t="s">
        <v>129</v>
      </c>
      <c r="C3" s="14"/>
      <c r="D3" s="14"/>
      <c r="E3" s="15"/>
    </row>
    <row r="4" ht="14.25" customHeight="1">
      <c r="B4" s="17" t="s">
        <v>78</v>
      </c>
      <c r="C4" s="17" t="s">
        <v>79</v>
      </c>
      <c r="D4" s="18" t="s">
        <v>80</v>
      </c>
      <c r="E4" s="18" t="s">
        <v>81</v>
      </c>
    </row>
    <row r="5" ht="14.25" customHeight="1">
      <c r="B5" s="29">
        <v>45597.0</v>
      </c>
      <c r="C5" s="17" t="s">
        <v>82</v>
      </c>
      <c r="D5" s="20">
        <v>863592.7</v>
      </c>
      <c r="E5" s="6"/>
    </row>
    <row r="6" ht="14.25" customHeight="1">
      <c r="B6" s="21"/>
      <c r="C6" s="5" t="s">
        <v>83</v>
      </c>
      <c r="D6" s="6">
        <v>0.0</v>
      </c>
      <c r="E6" s="6"/>
    </row>
    <row r="7" ht="14.25" customHeight="1">
      <c r="B7" s="21"/>
      <c r="C7" s="5" t="s">
        <v>84</v>
      </c>
      <c r="D7" s="6">
        <f>D5-D6</f>
        <v>863592.7</v>
      </c>
      <c r="E7" s="6"/>
    </row>
    <row r="8" ht="14.25" customHeight="1">
      <c r="B8" s="21"/>
      <c r="C8" s="5"/>
      <c r="D8" s="6"/>
      <c r="E8" s="6"/>
    </row>
    <row r="9" ht="14.25" customHeight="1">
      <c r="B9" s="21"/>
      <c r="C9" s="17" t="s">
        <v>85</v>
      </c>
      <c r="D9" s="6"/>
      <c r="E9" s="6"/>
    </row>
    <row r="10" ht="14.25" customHeight="1">
      <c r="B10" s="21"/>
      <c r="C10" s="5" t="s">
        <v>5</v>
      </c>
      <c r="D10" s="6">
        <v>72800.0</v>
      </c>
      <c r="E10" s="6"/>
    </row>
    <row r="11" ht="14.25" customHeight="1">
      <c r="B11" s="21"/>
      <c r="C11" s="5"/>
      <c r="D11" s="6"/>
      <c r="E11" s="6"/>
    </row>
    <row r="12" ht="14.25" customHeight="1">
      <c r="B12" s="21"/>
      <c r="C12" s="17" t="s">
        <v>86</v>
      </c>
      <c r="D12" s="20">
        <f>SUM(D10)</f>
        <v>72800</v>
      </c>
      <c r="E12" s="6"/>
    </row>
    <row r="13" ht="14.25" customHeight="1">
      <c r="B13" s="21"/>
      <c r="C13" s="17" t="s">
        <v>87</v>
      </c>
      <c r="D13" s="20">
        <f>D5+D12</f>
        <v>936392.7</v>
      </c>
      <c r="E13" s="6"/>
    </row>
    <row r="14" ht="14.25" customHeight="1">
      <c r="B14" s="21"/>
      <c r="C14" s="5"/>
      <c r="D14" s="6"/>
      <c r="E14" s="6"/>
    </row>
    <row r="15" ht="14.25" customHeight="1">
      <c r="B15" s="21"/>
      <c r="C15" s="17" t="s">
        <v>88</v>
      </c>
      <c r="D15" s="6"/>
      <c r="E15" s="6"/>
    </row>
    <row r="16" ht="14.25" customHeight="1">
      <c r="B16" s="19">
        <v>45604.0</v>
      </c>
      <c r="C16" s="5" t="s">
        <v>8</v>
      </c>
      <c r="D16" s="6"/>
      <c r="E16" s="6">
        <v>11000.0</v>
      </c>
    </row>
    <row r="17" ht="14.25" customHeight="1">
      <c r="B17" s="19">
        <v>45609.0</v>
      </c>
      <c r="C17" s="5" t="s">
        <v>25</v>
      </c>
      <c r="D17" s="6"/>
      <c r="E17" s="6">
        <v>27500.0</v>
      </c>
    </row>
    <row r="18" ht="14.25" customHeight="1">
      <c r="B18" s="19">
        <v>45618.0</v>
      </c>
      <c r="C18" s="5" t="s">
        <v>31</v>
      </c>
      <c r="D18" s="6"/>
      <c r="E18" s="6">
        <v>7530.0</v>
      </c>
    </row>
    <row r="19" ht="14.25" customHeight="1">
      <c r="B19" s="19">
        <v>45616.0</v>
      </c>
      <c r="C19" s="5" t="s">
        <v>46</v>
      </c>
      <c r="D19" s="6"/>
      <c r="E19" s="6">
        <v>22199.0</v>
      </c>
    </row>
    <row r="20" ht="14.25" customHeight="1">
      <c r="B20" s="19">
        <v>45626.0</v>
      </c>
      <c r="C20" s="5" t="s">
        <v>40</v>
      </c>
      <c r="D20" s="6"/>
      <c r="E20" s="6">
        <v>20000.0</v>
      </c>
    </row>
    <row r="21" ht="14.25" customHeight="1">
      <c r="B21" s="19">
        <v>45613.0</v>
      </c>
      <c r="C21" s="5" t="s">
        <v>9</v>
      </c>
      <c r="D21" s="6"/>
      <c r="E21" s="6">
        <v>9965.0</v>
      </c>
    </row>
    <row r="22" ht="14.25" customHeight="1">
      <c r="B22" s="19">
        <v>45618.0</v>
      </c>
      <c r="C22" s="5" t="s">
        <v>18</v>
      </c>
      <c r="D22" s="6"/>
      <c r="E22" s="6">
        <v>118.0</v>
      </c>
    </row>
    <row r="23" ht="14.25" customHeight="1">
      <c r="B23" s="21"/>
      <c r="C23" s="17"/>
      <c r="D23" s="6"/>
      <c r="E23" s="20"/>
    </row>
    <row r="24" ht="14.25" customHeight="1">
      <c r="B24" s="21"/>
      <c r="C24" s="17" t="s">
        <v>89</v>
      </c>
      <c r="D24" s="6"/>
      <c r="E24" s="20">
        <f>SUM(E16:E22)</f>
        <v>98312</v>
      </c>
    </row>
    <row r="25" ht="14.25" customHeight="1">
      <c r="B25" s="29"/>
      <c r="C25" s="17" t="s">
        <v>90</v>
      </c>
      <c r="D25" s="20">
        <f>D13-E24</f>
        <v>838080.7</v>
      </c>
      <c r="E25" s="6"/>
    </row>
    <row r="26" ht="14.25" customHeight="1">
      <c r="B26" s="21"/>
      <c r="C26" s="17"/>
      <c r="D26" s="20"/>
      <c r="E26" s="6"/>
    </row>
    <row r="27" ht="14.25" customHeight="1">
      <c r="B27" s="21"/>
      <c r="C27" s="17" t="s">
        <v>91</v>
      </c>
      <c r="D27" s="6"/>
      <c r="E27" s="20"/>
    </row>
    <row r="28" ht="14.25" customHeight="1">
      <c r="B28" s="21"/>
      <c r="C28" s="17" t="s">
        <v>130</v>
      </c>
      <c r="D28" s="6"/>
      <c r="E28" s="6">
        <v>20000.0</v>
      </c>
    </row>
    <row r="29" ht="14.25" customHeight="1">
      <c r="B29" s="21"/>
      <c r="C29" s="17" t="s">
        <v>131</v>
      </c>
      <c r="D29" s="6"/>
      <c r="E29" s="20">
        <v>-3954.0</v>
      </c>
    </row>
    <row r="30" ht="14.25" customHeight="1">
      <c r="B30" s="19"/>
      <c r="C30" s="5"/>
      <c r="D30" s="6"/>
      <c r="E30" s="6"/>
      <c r="K30" s="22"/>
    </row>
    <row r="31" ht="14.25" customHeight="1">
      <c r="B31" s="19">
        <v>45598.0</v>
      </c>
      <c r="C31" s="5" t="s">
        <v>11</v>
      </c>
      <c r="D31" s="6"/>
      <c r="E31" s="6">
        <v>1500.0</v>
      </c>
      <c r="K31" s="22"/>
    </row>
    <row r="32" ht="14.25" customHeight="1">
      <c r="B32" s="19">
        <v>45598.0</v>
      </c>
      <c r="C32" s="5" t="s">
        <v>12</v>
      </c>
      <c r="D32" s="6"/>
      <c r="E32" s="6">
        <v>500.0</v>
      </c>
    </row>
    <row r="33" ht="14.25" customHeight="1">
      <c r="B33" s="19">
        <v>45617.0</v>
      </c>
      <c r="C33" s="5" t="s">
        <v>47</v>
      </c>
      <c r="D33" s="6"/>
      <c r="E33" s="6">
        <v>1770.0</v>
      </c>
    </row>
    <row r="34" ht="14.25" customHeight="1">
      <c r="B34" s="19"/>
      <c r="C34" s="5"/>
      <c r="D34" s="6"/>
      <c r="E34" s="6"/>
    </row>
    <row r="35" ht="14.25" customHeight="1">
      <c r="B35" s="19"/>
      <c r="C35" s="5"/>
      <c r="D35" s="6"/>
      <c r="E35" s="6"/>
    </row>
    <row r="36" ht="14.25" customHeight="1">
      <c r="B36" s="5"/>
      <c r="C36" s="17" t="s">
        <v>94</v>
      </c>
      <c r="D36" s="6"/>
      <c r="E36" s="20">
        <f>sum(E31:E34)</f>
        <v>3770</v>
      </c>
    </row>
    <row r="37" ht="14.25" customHeight="1">
      <c r="B37" s="5"/>
      <c r="C37" s="17"/>
      <c r="D37" s="6"/>
      <c r="E37" s="20"/>
    </row>
    <row r="38" ht="14.25" customHeight="1">
      <c r="B38" s="24"/>
      <c r="C38" s="17" t="s">
        <v>95</v>
      </c>
      <c r="D38" s="20">
        <f>E28+E29-E36</f>
        <v>12276</v>
      </c>
      <c r="E38" s="20"/>
    </row>
    <row r="39" ht="14.25" customHeight="1">
      <c r="B39" s="5"/>
      <c r="C39" s="5"/>
      <c r="D39" s="6"/>
      <c r="E39" s="6"/>
    </row>
    <row r="40" ht="14.25" customHeight="1">
      <c r="B40" s="24">
        <v>45626.0</v>
      </c>
      <c r="C40" s="17" t="s">
        <v>96</v>
      </c>
      <c r="D40" s="20">
        <f>D25</f>
        <v>838080.7</v>
      </c>
      <c r="E40" s="6"/>
    </row>
    <row r="41" ht="14.25" customHeight="1">
      <c r="B41" s="24">
        <v>45626.0</v>
      </c>
      <c r="C41" s="17" t="s">
        <v>97</v>
      </c>
      <c r="D41" s="20">
        <f>D40</f>
        <v>838080.7</v>
      </c>
      <c r="E41" s="6"/>
    </row>
    <row r="42" ht="14.25" customHeight="1"/>
    <row r="43" ht="14.25" customHeight="1">
      <c r="C43" s="25"/>
    </row>
    <row r="44" ht="14.25" customHeight="1">
      <c r="C44" s="28"/>
    </row>
    <row r="45" ht="14.25" customHeight="1"/>
    <row r="46" ht="14.25" customHeight="1">
      <c r="E46" s="26" t="s">
        <v>98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2">
    <mergeCell ref="B2:E2"/>
    <mergeCell ref="B3:E3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37.29"/>
    <col customWidth="1" min="4" max="4" width="25.29"/>
    <col customWidth="1" min="5" max="5" width="17.0"/>
    <col customWidth="1" min="6" max="26" width="8.71"/>
  </cols>
  <sheetData>
    <row r="1" ht="14.25" customHeight="1"/>
    <row r="2" ht="14.25" customHeight="1">
      <c r="B2" s="13" t="s">
        <v>76</v>
      </c>
      <c r="C2" s="14"/>
      <c r="D2" s="14"/>
      <c r="E2" s="15"/>
    </row>
    <row r="3" ht="14.25" customHeight="1">
      <c r="B3" s="16" t="s">
        <v>132</v>
      </c>
      <c r="C3" s="14"/>
      <c r="D3" s="14"/>
      <c r="E3" s="15"/>
    </row>
    <row r="4" ht="14.25" customHeight="1">
      <c r="B4" s="17" t="s">
        <v>78</v>
      </c>
      <c r="C4" s="17" t="s">
        <v>79</v>
      </c>
      <c r="D4" s="18" t="s">
        <v>80</v>
      </c>
      <c r="E4" s="18" t="s">
        <v>81</v>
      </c>
    </row>
    <row r="5" ht="14.25" customHeight="1">
      <c r="B5" s="29">
        <v>45627.0</v>
      </c>
      <c r="C5" s="17" t="s">
        <v>82</v>
      </c>
      <c r="D5" s="20">
        <v>838080.7</v>
      </c>
      <c r="E5" s="6"/>
    </row>
    <row r="6" ht="14.25" customHeight="1">
      <c r="B6" s="21"/>
      <c r="C6" s="5" t="s">
        <v>83</v>
      </c>
      <c r="D6" s="6">
        <v>0.0</v>
      </c>
      <c r="E6" s="6"/>
    </row>
    <row r="7" ht="14.25" customHeight="1">
      <c r="B7" s="21"/>
      <c r="C7" s="5" t="s">
        <v>84</v>
      </c>
      <c r="D7" s="6">
        <f>D5-D6</f>
        <v>838080.7</v>
      </c>
      <c r="E7" s="6"/>
    </row>
    <row r="8" ht="14.25" customHeight="1">
      <c r="B8" s="21"/>
      <c r="C8" s="5"/>
      <c r="D8" s="6"/>
      <c r="E8" s="6"/>
    </row>
    <row r="9" ht="14.25" customHeight="1">
      <c r="B9" s="21"/>
      <c r="C9" s="17" t="s">
        <v>85</v>
      </c>
      <c r="D9" s="6"/>
      <c r="E9" s="6"/>
    </row>
    <row r="10" ht="14.25" customHeight="1">
      <c r="B10" s="21"/>
      <c r="C10" s="5" t="s">
        <v>5</v>
      </c>
      <c r="D10" s="6">
        <v>59800.0</v>
      </c>
      <c r="E10" s="6"/>
    </row>
    <row r="11" ht="14.25" customHeight="1">
      <c r="B11" s="21"/>
      <c r="C11" s="5"/>
      <c r="D11" s="6"/>
      <c r="E11" s="6"/>
    </row>
    <row r="12" ht="14.25" customHeight="1">
      <c r="B12" s="21"/>
      <c r="C12" s="17" t="s">
        <v>86</v>
      </c>
      <c r="D12" s="20">
        <f>SUM(D10)</f>
        <v>59800</v>
      </c>
      <c r="E12" s="6"/>
    </row>
    <row r="13" ht="14.25" customHeight="1">
      <c r="B13" s="21"/>
      <c r="C13" s="17" t="s">
        <v>87</v>
      </c>
      <c r="D13" s="20">
        <f>D5+D12</f>
        <v>897880.7</v>
      </c>
      <c r="E13" s="6"/>
    </row>
    <row r="14" ht="14.25" customHeight="1">
      <c r="B14" s="21"/>
      <c r="C14" s="5"/>
      <c r="D14" s="6"/>
      <c r="E14" s="6"/>
    </row>
    <row r="15" ht="14.25" customHeight="1">
      <c r="B15" s="21"/>
      <c r="C15" s="17" t="s">
        <v>88</v>
      </c>
      <c r="D15" s="6"/>
      <c r="E15" s="6"/>
    </row>
    <row r="16" ht="14.25" customHeight="1">
      <c r="B16" s="19">
        <v>45635.0</v>
      </c>
      <c r="C16" s="5" t="s">
        <v>8</v>
      </c>
      <c r="D16" s="6"/>
      <c r="E16" s="6">
        <v>11000.0</v>
      </c>
    </row>
    <row r="17" ht="14.25" customHeight="1">
      <c r="B17" s="19">
        <v>45632.0</v>
      </c>
      <c r="C17" s="5" t="s">
        <v>25</v>
      </c>
      <c r="D17" s="6"/>
      <c r="E17" s="6">
        <v>27500.0</v>
      </c>
    </row>
    <row r="18" ht="14.25" customHeight="1">
      <c r="B18" s="19">
        <v>45644.0</v>
      </c>
      <c r="C18" s="5" t="s">
        <v>31</v>
      </c>
      <c r="D18" s="6"/>
      <c r="E18" s="6">
        <v>7794.0</v>
      </c>
    </row>
    <row r="19" ht="14.25" customHeight="1">
      <c r="B19" s="19">
        <v>45637.0</v>
      </c>
      <c r="C19" s="5" t="s">
        <v>49</v>
      </c>
      <c r="D19" s="6"/>
      <c r="E19" s="6">
        <v>45000.0</v>
      </c>
    </row>
    <row r="20" ht="14.25" customHeight="1">
      <c r="B20" s="19">
        <v>45642.0</v>
      </c>
      <c r="C20" s="5" t="s">
        <v>49</v>
      </c>
      <c r="D20" s="6"/>
      <c r="E20" s="6">
        <v>47000.0</v>
      </c>
    </row>
    <row r="21" ht="14.25" customHeight="1">
      <c r="B21" s="19">
        <v>45643.0</v>
      </c>
      <c r="C21" s="5" t="s">
        <v>49</v>
      </c>
      <c r="D21" s="6"/>
      <c r="E21" s="6">
        <v>23000.0</v>
      </c>
    </row>
    <row r="22" ht="14.25" customHeight="1">
      <c r="B22" s="29">
        <v>45643.0</v>
      </c>
      <c r="C22" s="5" t="s">
        <v>9</v>
      </c>
      <c r="D22" s="6"/>
      <c r="E22" s="6">
        <v>9684.0</v>
      </c>
    </row>
    <row r="23" ht="14.25" customHeight="1">
      <c r="B23" s="21"/>
      <c r="C23" s="17" t="s">
        <v>89</v>
      </c>
      <c r="D23" s="6"/>
      <c r="E23" s="20">
        <f>SUM(E16:E22)</f>
        <v>170978</v>
      </c>
    </row>
    <row r="24" ht="14.25" customHeight="1">
      <c r="B24" s="29"/>
      <c r="C24" s="17" t="s">
        <v>90</v>
      </c>
      <c r="D24" s="20">
        <f>D13-E23</f>
        <v>726902.7</v>
      </c>
      <c r="E24" s="6"/>
    </row>
    <row r="25" ht="14.25" customHeight="1">
      <c r="B25" s="21"/>
      <c r="C25" s="17"/>
      <c r="D25" s="20"/>
      <c r="E25" s="6"/>
    </row>
    <row r="26" ht="14.25" customHeight="1">
      <c r="B26" s="21"/>
      <c r="C26" s="17" t="s">
        <v>91</v>
      </c>
      <c r="D26" s="6"/>
      <c r="E26" s="20"/>
    </row>
    <row r="27" ht="14.25" customHeight="1">
      <c r="B27" s="21"/>
      <c r="C27" s="17" t="s">
        <v>133</v>
      </c>
      <c r="D27" s="6"/>
      <c r="E27" s="6">
        <v>0.0</v>
      </c>
    </row>
    <row r="28" ht="14.25" customHeight="1">
      <c r="B28" s="21"/>
      <c r="C28" s="17" t="s">
        <v>134</v>
      </c>
      <c r="D28" s="6"/>
      <c r="E28" s="20">
        <v>12276.0</v>
      </c>
    </row>
    <row r="29" ht="14.25" customHeight="1">
      <c r="B29" s="19"/>
      <c r="C29" s="5"/>
      <c r="D29" s="6"/>
      <c r="E29" s="6"/>
      <c r="K29" s="22"/>
    </row>
    <row r="30" ht="14.25" customHeight="1">
      <c r="B30" s="19">
        <v>45628.0</v>
      </c>
      <c r="C30" s="5" t="s">
        <v>11</v>
      </c>
      <c r="D30" s="6"/>
      <c r="E30" s="6">
        <v>1500.0</v>
      </c>
      <c r="K30" s="22"/>
    </row>
    <row r="31" ht="14.25" customHeight="1">
      <c r="B31" s="19">
        <v>45628.0</v>
      </c>
      <c r="C31" s="5" t="s">
        <v>12</v>
      </c>
      <c r="D31" s="6"/>
      <c r="E31" s="6">
        <v>500.0</v>
      </c>
    </row>
    <row r="32" ht="14.25" customHeight="1">
      <c r="B32" s="19">
        <v>45643.0</v>
      </c>
      <c r="C32" s="5" t="s">
        <v>50</v>
      </c>
      <c r="D32" s="6"/>
      <c r="E32" s="6">
        <v>2950.0</v>
      </c>
    </row>
    <row r="33" ht="14.25" customHeight="1">
      <c r="B33" s="19"/>
      <c r="C33" s="5"/>
      <c r="D33" s="6"/>
      <c r="E33" s="6"/>
    </row>
    <row r="34" ht="14.25" customHeight="1">
      <c r="B34" s="19"/>
      <c r="C34" s="5"/>
      <c r="D34" s="6"/>
      <c r="E34" s="6"/>
    </row>
    <row r="35" ht="14.25" customHeight="1">
      <c r="B35" s="5"/>
      <c r="C35" s="17" t="s">
        <v>94</v>
      </c>
      <c r="D35" s="6"/>
      <c r="E35" s="20">
        <f>sum(E30:E33)</f>
        <v>4950</v>
      </c>
    </row>
    <row r="36" ht="14.25" customHeight="1">
      <c r="B36" s="5"/>
      <c r="C36" s="17"/>
      <c r="D36" s="6"/>
      <c r="E36" s="20"/>
    </row>
    <row r="37" ht="14.25" customHeight="1">
      <c r="B37" s="24"/>
      <c r="C37" s="17" t="s">
        <v>95</v>
      </c>
      <c r="D37" s="20">
        <f>E27+E28-E35</f>
        <v>7326</v>
      </c>
      <c r="E37" s="20"/>
    </row>
    <row r="38" ht="14.25" customHeight="1">
      <c r="B38" s="5"/>
      <c r="C38" s="5"/>
      <c r="D38" s="6"/>
      <c r="E38" s="6"/>
    </row>
    <row r="39" ht="14.25" customHeight="1">
      <c r="B39" s="24">
        <v>45657.0</v>
      </c>
      <c r="C39" s="17" t="s">
        <v>96</v>
      </c>
      <c r="D39" s="20">
        <f>D24</f>
        <v>726902.7</v>
      </c>
      <c r="E39" s="6"/>
    </row>
    <row r="40" ht="14.25" customHeight="1">
      <c r="B40" s="24">
        <v>45657.0</v>
      </c>
      <c r="C40" s="17" t="s">
        <v>97</v>
      </c>
      <c r="D40" s="20">
        <f>D39</f>
        <v>726902.7</v>
      </c>
      <c r="E40" s="6"/>
    </row>
    <row r="41" ht="14.25" customHeight="1"/>
    <row r="42" ht="14.25" customHeight="1">
      <c r="C42" s="25"/>
    </row>
    <row r="43" ht="14.25" customHeight="1">
      <c r="C43" s="28"/>
    </row>
    <row r="44" ht="14.25" customHeight="1"/>
    <row r="45" ht="14.25" customHeight="1">
      <c r="E45" s="26" t="s">
        <v>98</v>
      </c>
    </row>
    <row r="46" ht="14.25" customHeight="1"/>
    <row r="47" ht="14.25" customHeight="1"/>
    <row r="48" ht="14.25" customHeight="1"/>
    <row r="49" ht="14.25" customHeight="1">
      <c r="C49" s="33" t="s">
        <v>135</v>
      </c>
      <c r="D49" s="15"/>
    </row>
    <row r="50" ht="14.25" customHeight="1">
      <c r="C50" s="7" t="s">
        <v>136</v>
      </c>
      <c r="D50" s="7">
        <f>47000+45000+23000</f>
        <v>115000</v>
      </c>
    </row>
    <row r="51" ht="14.25" customHeight="1">
      <c r="C51" s="7" t="s">
        <v>137</v>
      </c>
      <c r="D51" s="7">
        <v>3100.0</v>
      </c>
    </row>
    <row r="52" ht="14.25" customHeight="1">
      <c r="C52" s="7" t="s">
        <v>138</v>
      </c>
      <c r="D52" s="7">
        <v>600.0</v>
      </c>
    </row>
    <row r="53" ht="14.25" customHeight="1">
      <c r="C53" s="7" t="s">
        <v>139</v>
      </c>
      <c r="D53" s="7">
        <v>-1400.0</v>
      </c>
    </row>
    <row r="54" ht="14.25" customHeight="1">
      <c r="C54" s="7" t="s">
        <v>140</v>
      </c>
      <c r="D54" s="7">
        <v>650.0</v>
      </c>
    </row>
    <row r="55" ht="14.25" customHeight="1">
      <c r="C55" s="7" t="s">
        <v>128</v>
      </c>
      <c r="D55" s="31">
        <f>SUM(D50:D54)</f>
        <v>117950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3">
    <mergeCell ref="B2:E2"/>
    <mergeCell ref="B3:E3"/>
    <mergeCell ref="C49:D49"/>
  </mergeCells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37.29"/>
    <col customWidth="1" min="4" max="4" width="25.29"/>
    <col customWidth="1" min="5" max="5" width="17.0"/>
    <col customWidth="1" min="6" max="26" width="8.71"/>
  </cols>
  <sheetData>
    <row r="1" ht="14.25" customHeight="1"/>
    <row r="2" ht="25.5" customHeight="1">
      <c r="B2" s="13" t="s">
        <v>76</v>
      </c>
      <c r="C2" s="14"/>
      <c r="D2" s="14"/>
      <c r="E2" s="15"/>
    </row>
    <row r="3">
      <c r="B3" s="16" t="s">
        <v>141</v>
      </c>
      <c r="C3" s="14"/>
      <c r="D3" s="14"/>
      <c r="E3" s="15"/>
    </row>
    <row r="4" ht="14.25" customHeight="1">
      <c r="B4" s="17" t="s">
        <v>78</v>
      </c>
      <c r="C4" s="17" t="s">
        <v>79</v>
      </c>
      <c r="D4" s="18" t="s">
        <v>80</v>
      </c>
      <c r="E4" s="18" t="s">
        <v>81</v>
      </c>
    </row>
    <row r="5" ht="14.25" customHeight="1">
      <c r="B5" s="29">
        <v>45658.0</v>
      </c>
      <c r="C5" s="17" t="s">
        <v>82</v>
      </c>
      <c r="D5" s="20">
        <v>726902.7</v>
      </c>
      <c r="E5" s="6"/>
    </row>
    <row r="6" ht="14.25" customHeight="1">
      <c r="B6" s="21"/>
      <c r="C6" s="5" t="s">
        <v>83</v>
      </c>
      <c r="D6" s="6">
        <v>0.0</v>
      </c>
      <c r="E6" s="6"/>
    </row>
    <row r="7" ht="14.25" customHeight="1">
      <c r="B7" s="21"/>
      <c r="C7" s="5" t="s">
        <v>84</v>
      </c>
      <c r="D7" s="6">
        <f>D5-D6</f>
        <v>726902.7</v>
      </c>
      <c r="E7" s="6"/>
    </row>
    <row r="8" ht="14.25" customHeight="1">
      <c r="B8" s="21"/>
      <c r="C8" s="5"/>
      <c r="D8" s="6"/>
      <c r="E8" s="6"/>
    </row>
    <row r="9" ht="14.25" customHeight="1">
      <c r="B9" s="21"/>
      <c r="C9" s="17" t="s">
        <v>85</v>
      </c>
      <c r="D9" s="6"/>
      <c r="E9" s="6"/>
    </row>
    <row r="10" ht="14.25" customHeight="1">
      <c r="B10" s="21"/>
      <c r="C10" s="5" t="s">
        <v>5</v>
      </c>
      <c r="D10" s="8">
        <v>67600.0</v>
      </c>
      <c r="E10" s="6"/>
    </row>
    <row r="11" ht="14.25" customHeight="1">
      <c r="B11" s="21"/>
      <c r="C11" s="5"/>
      <c r="D11" s="6"/>
      <c r="E11" s="6"/>
    </row>
    <row r="12" ht="14.25" customHeight="1">
      <c r="B12" s="21"/>
      <c r="C12" s="17" t="s">
        <v>86</v>
      </c>
      <c r="D12" s="20">
        <f>SUM(D10)</f>
        <v>67600</v>
      </c>
      <c r="E12" s="6"/>
    </row>
    <row r="13" ht="14.25" customHeight="1">
      <c r="B13" s="21"/>
      <c r="C13" s="17" t="s">
        <v>87</v>
      </c>
      <c r="D13" s="20">
        <f>D5+D12</f>
        <v>794502.7</v>
      </c>
      <c r="E13" s="6"/>
    </row>
    <row r="14" ht="14.25" customHeight="1">
      <c r="B14" s="21"/>
      <c r="C14" s="5"/>
      <c r="D14" s="6"/>
      <c r="E14" s="6"/>
    </row>
    <row r="15" ht="14.25" customHeight="1">
      <c r="B15" s="21"/>
      <c r="C15" s="17" t="s">
        <v>88</v>
      </c>
      <c r="D15" s="6"/>
      <c r="E15" s="6"/>
    </row>
    <row r="16" ht="14.25" customHeight="1">
      <c r="B16" s="34">
        <v>45663.0</v>
      </c>
      <c r="C16" s="5" t="s">
        <v>8</v>
      </c>
      <c r="D16" s="6"/>
      <c r="E16" s="8">
        <v>13000.0</v>
      </c>
    </row>
    <row r="17" ht="14.25" customHeight="1">
      <c r="B17" s="34">
        <v>45665.0</v>
      </c>
      <c r="C17" s="5" t="s">
        <v>25</v>
      </c>
      <c r="D17" s="6"/>
      <c r="E17" s="8">
        <v>27500.0</v>
      </c>
    </row>
    <row r="18" ht="14.25" customHeight="1">
      <c r="B18" s="34">
        <v>45680.0</v>
      </c>
      <c r="C18" s="5" t="s">
        <v>31</v>
      </c>
      <c r="D18" s="6"/>
      <c r="E18" s="8">
        <v>7838.0</v>
      </c>
    </row>
    <row r="19" ht="14.25" customHeight="1">
      <c r="B19" s="34">
        <v>45674.0</v>
      </c>
      <c r="C19" s="5" t="s">
        <v>9</v>
      </c>
      <c r="D19" s="6"/>
      <c r="E19" s="8">
        <v>9670.0</v>
      </c>
    </row>
    <row r="20" ht="14.25" customHeight="1">
      <c r="B20" s="34">
        <v>45681.0</v>
      </c>
      <c r="C20" s="9" t="s">
        <v>142</v>
      </c>
      <c r="D20" s="6"/>
      <c r="E20" s="8">
        <v>30000.0</v>
      </c>
    </row>
    <row r="21" ht="14.25" customHeight="1">
      <c r="B21" s="19"/>
      <c r="C21" s="5"/>
      <c r="D21" s="6"/>
      <c r="E21" s="6"/>
    </row>
    <row r="22" ht="14.25" customHeight="1">
      <c r="B22" s="21"/>
      <c r="C22" s="17"/>
      <c r="D22" s="6"/>
      <c r="E22" s="20"/>
    </row>
    <row r="23" ht="14.25" customHeight="1">
      <c r="B23" s="21"/>
      <c r="C23" s="17" t="s">
        <v>89</v>
      </c>
      <c r="D23" s="6"/>
      <c r="E23" s="20">
        <f>SUM(E16:E21)</f>
        <v>88008</v>
      </c>
    </row>
    <row r="24" ht="14.25" customHeight="1">
      <c r="B24" s="29"/>
      <c r="C24" s="17" t="s">
        <v>90</v>
      </c>
      <c r="D24" s="20">
        <f>D13-E23</f>
        <v>706494.7</v>
      </c>
      <c r="E24" s="6"/>
    </row>
    <row r="25" ht="14.25" customHeight="1">
      <c r="B25" s="21"/>
      <c r="C25" s="17"/>
      <c r="D25" s="20"/>
      <c r="E25" s="6"/>
    </row>
    <row r="26" ht="14.25" customHeight="1">
      <c r="B26" s="21"/>
      <c r="C26" s="17" t="s">
        <v>91</v>
      </c>
      <c r="D26" s="6"/>
      <c r="E26" s="20"/>
    </row>
    <row r="27" ht="14.25" customHeight="1">
      <c r="B27" s="21"/>
      <c r="C27" s="17" t="s">
        <v>143</v>
      </c>
      <c r="D27" s="6"/>
      <c r="E27" s="8">
        <v>30000.0</v>
      </c>
    </row>
    <row r="28" ht="14.25" customHeight="1">
      <c r="B28" s="21"/>
      <c r="C28" s="17" t="s">
        <v>144</v>
      </c>
      <c r="D28" s="6"/>
      <c r="E28" s="35">
        <v>7326.0</v>
      </c>
    </row>
    <row r="29" ht="14.25" customHeight="1">
      <c r="B29" s="19"/>
      <c r="C29" s="5"/>
      <c r="D29" s="6"/>
      <c r="E29" s="6"/>
      <c r="K29" s="22"/>
    </row>
    <row r="30" ht="14.25" customHeight="1">
      <c r="B30" s="19">
        <v>45659.0</v>
      </c>
      <c r="C30" s="5" t="s">
        <v>11</v>
      </c>
      <c r="D30" s="6"/>
      <c r="E30" s="6">
        <v>1500.0</v>
      </c>
      <c r="K30" s="22"/>
    </row>
    <row r="31" ht="14.25" customHeight="1">
      <c r="B31" s="19">
        <v>45659.0</v>
      </c>
      <c r="C31" s="5" t="s">
        <v>12</v>
      </c>
      <c r="D31" s="6"/>
      <c r="E31" s="6">
        <v>500.0</v>
      </c>
    </row>
    <row r="32" ht="14.25" customHeight="1">
      <c r="B32" s="34">
        <v>45674.0</v>
      </c>
      <c r="C32" s="9" t="s">
        <v>52</v>
      </c>
      <c r="D32" s="6"/>
      <c r="E32" s="8">
        <v>14775.0</v>
      </c>
    </row>
    <row r="33" ht="14.25" customHeight="1">
      <c r="B33" s="34">
        <v>45682.0</v>
      </c>
      <c r="C33" s="9" t="s">
        <v>53</v>
      </c>
      <c r="D33" s="6"/>
      <c r="E33" s="8">
        <v>6000.0</v>
      </c>
    </row>
    <row r="34" ht="14.25" customHeight="1">
      <c r="B34" s="19"/>
      <c r="C34" s="5"/>
      <c r="D34" s="6"/>
      <c r="E34" s="6"/>
    </row>
    <row r="35" ht="14.25" customHeight="1">
      <c r="B35" s="5"/>
      <c r="C35" s="17" t="s">
        <v>94</v>
      </c>
      <c r="D35" s="6"/>
      <c r="E35" s="20">
        <f>sum(E30:E33)</f>
        <v>22775</v>
      </c>
    </row>
    <row r="36" ht="14.25" customHeight="1">
      <c r="B36" s="5"/>
      <c r="C36" s="17"/>
      <c r="D36" s="6"/>
      <c r="E36" s="20"/>
    </row>
    <row r="37" ht="14.25" customHeight="1">
      <c r="B37" s="24"/>
      <c r="C37" s="17" t="s">
        <v>95</v>
      </c>
      <c r="D37" s="20">
        <f>E27+E28-E35</f>
        <v>14551</v>
      </c>
      <c r="E37" s="20"/>
    </row>
    <row r="38" ht="14.25" customHeight="1">
      <c r="B38" s="5"/>
      <c r="C38" s="5"/>
      <c r="D38" s="6"/>
      <c r="E38" s="6"/>
    </row>
    <row r="39" ht="14.25" customHeight="1">
      <c r="B39" s="24">
        <v>45688.0</v>
      </c>
      <c r="C39" s="17" t="s">
        <v>96</v>
      </c>
      <c r="D39" s="20">
        <f>D24</f>
        <v>706494.7</v>
      </c>
      <c r="E39" s="6"/>
    </row>
    <row r="40" ht="14.25" customHeight="1">
      <c r="B40" s="24">
        <v>45688.0</v>
      </c>
      <c r="C40" s="17" t="s">
        <v>97</v>
      </c>
      <c r="D40" s="20">
        <f>D39</f>
        <v>706494.7</v>
      </c>
      <c r="E40" s="6"/>
    </row>
    <row r="41" ht="14.25" customHeight="1"/>
    <row r="42" ht="14.25" customHeight="1">
      <c r="C42" s="25"/>
    </row>
    <row r="43" ht="14.25" customHeight="1">
      <c r="C43" s="28"/>
    </row>
    <row r="44" ht="14.25" customHeight="1"/>
    <row r="45" ht="14.25" customHeight="1">
      <c r="E45" s="26" t="s">
        <v>98</v>
      </c>
    </row>
    <row r="46" ht="14.25" customHeight="1"/>
    <row r="47" ht="14.25" customHeight="1"/>
    <row r="48" ht="14.25" customHeight="1"/>
    <row r="49" ht="14.25" customHeight="1">
      <c r="C49" s="33" t="s">
        <v>145</v>
      </c>
      <c r="D49" s="15"/>
    </row>
    <row r="50" ht="14.25" customHeight="1">
      <c r="C50" s="7" t="s">
        <v>146</v>
      </c>
      <c r="D50" s="7">
        <v>-18500.0</v>
      </c>
    </row>
    <row r="51" ht="14.25" customHeight="1">
      <c r="C51" s="7" t="s">
        <v>147</v>
      </c>
      <c r="D51" s="7">
        <v>24375.0</v>
      </c>
    </row>
    <row r="52" ht="14.25" customHeight="1">
      <c r="C52" s="7" t="s">
        <v>148</v>
      </c>
      <c r="D52" s="7">
        <v>8000.0</v>
      </c>
    </row>
    <row r="53" ht="14.25" customHeight="1">
      <c r="C53" s="7" t="s">
        <v>149</v>
      </c>
      <c r="D53" s="7">
        <v>6500.0</v>
      </c>
    </row>
    <row r="54" ht="14.25" customHeight="1">
      <c r="C54" s="7" t="s">
        <v>150</v>
      </c>
      <c r="D54" s="7">
        <v>1200.0</v>
      </c>
    </row>
    <row r="55" ht="14.25" customHeight="1">
      <c r="C55" s="36"/>
      <c r="D55" s="36"/>
    </row>
    <row r="56" ht="14.25" customHeight="1">
      <c r="C56" s="7" t="s">
        <v>128</v>
      </c>
      <c r="D56" s="7">
        <f>SUM(D50:D54)</f>
        <v>21575</v>
      </c>
    </row>
    <row r="57" ht="14.25" customHeight="1">
      <c r="C57" s="37" t="s">
        <v>151</v>
      </c>
      <c r="D57" s="37">
        <v>6800.0</v>
      </c>
    </row>
    <row r="58" ht="14.25" customHeight="1">
      <c r="C58" s="36"/>
      <c r="D58" s="36"/>
    </row>
    <row r="59" ht="14.25" customHeight="1">
      <c r="C59" s="37" t="s">
        <v>152</v>
      </c>
      <c r="D59" s="36">
        <f>D56-D57</f>
        <v>14775</v>
      </c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</sheetData>
  <mergeCells count="3">
    <mergeCell ref="B2:E2"/>
    <mergeCell ref="B3:E3"/>
    <mergeCell ref="C49:D49"/>
  </mergeCells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37.29"/>
    <col customWidth="1" min="4" max="4" width="25.29"/>
    <col customWidth="1" min="5" max="5" width="17.0"/>
    <col customWidth="1" min="6" max="26" width="8.71"/>
  </cols>
  <sheetData>
    <row r="1" ht="14.25" customHeight="1"/>
    <row r="2">
      <c r="B2" s="13" t="s">
        <v>76</v>
      </c>
      <c r="C2" s="14"/>
      <c r="D2" s="14"/>
      <c r="E2" s="15"/>
    </row>
    <row r="3">
      <c r="B3" s="38" t="s">
        <v>153</v>
      </c>
      <c r="C3" s="14"/>
      <c r="D3" s="14"/>
      <c r="E3" s="15"/>
    </row>
    <row r="4" ht="14.25" customHeight="1">
      <c r="B4" s="17" t="s">
        <v>78</v>
      </c>
      <c r="C4" s="17" t="s">
        <v>79</v>
      </c>
      <c r="D4" s="18" t="s">
        <v>80</v>
      </c>
      <c r="E4" s="18" t="s">
        <v>81</v>
      </c>
    </row>
    <row r="5" ht="14.25" customHeight="1">
      <c r="B5" s="39">
        <v>45689.0</v>
      </c>
      <c r="C5" s="17" t="s">
        <v>82</v>
      </c>
      <c r="D5" s="20">
        <v>706494.7</v>
      </c>
      <c r="E5" s="6"/>
    </row>
    <row r="6" ht="14.25" customHeight="1">
      <c r="B6" s="21"/>
      <c r="C6" s="5" t="s">
        <v>83</v>
      </c>
      <c r="D6" s="6">
        <v>0.0</v>
      </c>
      <c r="E6" s="6"/>
    </row>
    <row r="7" ht="14.25" customHeight="1">
      <c r="B7" s="21"/>
      <c r="C7" s="5" t="s">
        <v>84</v>
      </c>
      <c r="D7" s="6">
        <f>D5-D6</f>
        <v>706494.7</v>
      </c>
      <c r="E7" s="6"/>
    </row>
    <row r="8" ht="14.25" customHeight="1">
      <c r="B8" s="21"/>
      <c r="C8" s="5"/>
      <c r="D8" s="6"/>
      <c r="E8" s="6"/>
    </row>
    <row r="9" ht="14.25" customHeight="1">
      <c r="B9" s="21"/>
      <c r="C9" s="17" t="s">
        <v>85</v>
      </c>
      <c r="D9" s="6"/>
      <c r="E9" s="6"/>
    </row>
    <row r="10" ht="14.25" customHeight="1">
      <c r="B10" s="21"/>
      <c r="C10" s="5" t="s">
        <v>5</v>
      </c>
      <c r="D10" s="8">
        <f>72580-2380</f>
        <v>70200</v>
      </c>
      <c r="E10" s="6"/>
    </row>
    <row r="11" ht="14.25" customHeight="1">
      <c r="B11" s="21"/>
      <c r="C11" s="5"/>
      <c r="D11" s="6"/>
      <c r="E11" s="6"/>
    </row>
    <row r="12" ht="14.25" customHeight="1">
      <c r="B12" s="21"/>
      <c r="C12" s="17" t="s">
        <v>86</v>
      </c>
      <c r="D12" s="20">
        <f>SUM(D10)</f>
        <v>70200</v>
      </c>
      <c r="E12" s="6"/>
    </row>
    <row r="13" ht="14.25" customHeight="1">
      <c r="B13" s="21"/>
      <c r="C13" s="17" t="s">
        <v>87</v>
      </c>
      <c r="D13" s="20">
        <f>D5+D12</f>
        <v>776694.7</v>
      </c>
      <c r="E13" s="6"/>
    </row>
    <row r="14" ht="14.25" customHeight="1">
      <c r="B14" s="21"/>
      <c r="C14" s="5"/>
      <c r="D14" s="6"/>
      <c r="E14" s="6"/>
    </row>
    <row r="15" ht="14.25" customHeight="1">
      <c r="B15" s="34"/>
      <c r="C15" s="17" t="s">
        <v>88</v>
      </c>
      <c r="D15" s="6"/>
      <c r="E15" s="6"/>
    </row>
    <row r="16" ht="14.25" customHeight="1">
      <c r="B16" s="34">
        <v>45694.0</v>
      </c>
      <c r="C16" s="5" t="s">
        <v>8</v>
      </c>
      <c r="D16" s="6"/>
      <c r="E16" s="8">
        <v>15000.0</v>
      </c>
    </row>
    <row r="17" ht="14.25" customHeight="1">
      <c r="B17" s="34">
        <v>45700.0</v>
      </c>
      <c r="C17" s="5" t="s">
        <v>25</v>
      </c>
      <c r="D17" s="6"/>
      <c r="E17" s="8">
        <v>27500.0</v>
      </c>
    </row>
    <row r="18" ht="14.25" customHeight="1">
      <c r="B18" s="34">
        <v>45705.0</v>
      </c>
      <c r="C18" s="5" t="s">
        <v>9</v>
      </c>
      <c r="D18" s="6"/>
      <c r="E18" s="8">
        <v>9721.0</v>
      </c>
    </row>
    <row r="19" ht="14.25" customHeight="1">
      <c r="B19" s="19"/>
      <c r="C19" s="9" t="s">
        <v>142</v>
      </c>
      <c r="D19" s="6"/>
      <c r="E19" s="8">
        <v>0.0</v>
      </c>
    </row>
    <row r="20" ht="14.25" customHeight="1">
      <c r="B20" s="34">
        <v>45701.0</v>
      </c>
      <c r="C20" s="9" t="s">
        <v>55</v>
      </c>
      <c r="D20" s="6"/>
      <c r="E20" s="8">
        <v>600000.0</v>
      </c>
    </row>
    <row r="21" ht="14.25" customHeight="1">
      <c r="B21" s="21"/>
      <c r="C21" s="17"/>
      <c r="D21" s="6"/>
      <c r="E21" s="20"/>
    </row>
    <row r="22" ht="14.25" customHeight="1">
      <c r="B22" s="21"/>
      <c r="C22" s="17" t="s">
        <v>89</v>
      </c>
      <c r="D22" s="6"/>
      <c r="E22" s="20">
        <f>SUM(E16:E20)</f>
        <v>652221</v>
      </c>
    </row>
    <row r="23" ht="14.25" customHeight="1">
      <c r="B23" s="29"/>
      <c r="C23" s="17" t="s">
        <v>90</v>
      </c>
      <c r="D23" s="20">
        <f>D13-E22</f>
        <v>124473.7</v>
      </c>
      <c r="E23" s="6"/>
    </row>
    <row r="24" ht="14.25" customHeight="1">
      <c r="B24" s="21"/>
      <c r="C24" s="17"/>
      <c r="D24" s="20"/>
      <c r="E24" s="6"/>
    </row>
    <row r="25" ht="14.25" customHeight="1">
      <c r="B25" s="21"/>
      <c r="C25" s="17" t="s">
        <v>91</v>
      </c>
      <c r="D25" s="6"/>
      <c r="E25" s="20"/>
    </row>
    <row r="26" ht="14.25" customHeight="1">
      <c r="B26" s="21"/>
      <c r="C26" s="40" t="s">
        <v>154</v>
      </c>
      <c r="D26" s="6"/>
      <c r="E26" s="6">
        <v>0.0</v>
      </c>
    </row>
    <row r="27" ht="14.25" customHeight="1">
      <c r="B27" s="21"/>
      <c r="C27" s="40" t="s">
        <v>155</v>
      </c>
      <c r="D27" s="6"/>
      <c r="E27" s="35">
        <v>14551.0</v>
      </c>
    </row>
    <row r="28" ht="14.25" customHeight="1">
      <c r="B28" s="19"/>
      <c r="C28" s="5"/>
      <c r="D28" s="6"/>
      <c r="E28" s="6"/>
      <c r="K28" s="22"/>
    </row>
    <row r="29" ht="14.25" customHeight="1">
      <c r="B29" s="34">
        <v>45690.0</v>
      </c>
      <c r="C29" s="5" t="s">
        <v>11</v>
      </c>
      <c r="D29" s="6"/>
      <c r="E29" s="6">
        <v>1500.0</v>
      </c>
      <c r="K29" s="22"/>
    </row>
    <row r="30" ht="14.25" customHeight="1">
      <c r="B30" s="34">
        <v>45690.0</v>
      </c>
      <c r="C30" s="5" t="s">
        <v>12</v>
      </c>
      <c r="D30" s="6"/>
      <c r="E30" s="6">
        <v>500.0</v>
      </c>
    </row>
    <row r="31" ht="14.25" customHeight="1">
      <c r="B31" s="34">
        <v>45691.0</v>
      </c>
      <c r="C31" s="9" t="s">
        <v>22</v>
      </c>
      <c r="D31" s="6"/>
      <c r="E31" s="8">
        <v>1000.0</v>
      </c>
    </row>
    <row r="32" ht="14.25" customHeight="1">
      <c r="B32" s="34">
        <v>45691.0</v>
      </c>
      <c r="C32" s="9" t="s">
        <v>56</v>
      </c>
      <c r="D32" s="6"/>
      <c r="E32" s="8">
        <v>750.0</v>
      </c>
    </row>
    <row r="33" ht="14.25" customHeight="1">
      <c r="B33" s="34">
        <v>45693.0</v>
      </c>
      <c r="C33" s="9" t="s">
        <v>57</v>
      </c>
      <c r="D33" s="6"/>
      <c r="E33" s="8">
        <v>5000.0</v>
      </c>
    </row>
    <row r="34" ht="14.25" customHeight="1">
      <c r="B34" s="34">
        <v>45716.0</v>
      </c>
      <c r="C34" s="9" t="s">
        <v>58</v>
      </c>
      <c r="D34" s="6"/>
      <c r="E34" s="8">
        <v>8300.0</v>
      </c>
    </row>
    <row r="35" ht="14.25" customHeight="1">
      <c r="B35" s="19"/>
      <c r="C35" s="5"/>
      <c r="D35" s="6"/>
      <c r="E35" s="6"/>
    </row>
    <row r="36" ht="14.25" customHeight="1">
      <c r="B36" s="5"/>
      <c r="C36" s="17" t="s">
        <v>94</v>
      </c>
      <c r="D36" s="6"/>
      <c r="E36" s="20">
        <f>sum(E29:E34)</f>
        <v>17050</v>
      </c>
    </row>
    <row r="37" ht="14.25" customHeight="1">
      <c r="B37" s="5"/>
      <c r="C37" s="17"/>
      <c r="D37" s="6"/>
      <c r="E37" s="20"/>
    </row>
    <row r="38" ht="14.25" customHeight="1">
      <c r="B38" s="24"/>
      <c r="C38" s="17" t="s">
        <v>95</v>
      </c>
      <c r="D38" s="20">
        <f>E26+E27-E36</f>
        <v>-2499</v>
      </c>
      <c r="E38" s="20"/>
    </row>
    <row r="39" ht="14.25" customHeight="1">
      <c r="B39" s="5"/>
      <c r="C39" s="5"/>
      <c r="D39" s="6"/>
      <c r="E39" s="6"/>
    </row>
    <row r="40" ht="14.25" customHeight="1">
      <c r="B40" s="41">
        <v>45716.0</v>
      </c>
      <c r="C40" s="17" t="s">
        <v>96</v>
      </c>
      <c r="D40" s="20">
        <f>D23</f>
        <v>124473.7</v>
      </c>
      <c r="E40" s="6"/>
    </row>
    <row r="41" ht="14.25" customHeight="1">
      <c r="B41" s="41">
        <v>45716.0</v>
      </c>
      <c r="C41" s="17" t="s">
        <v>97</v>
      </c>
      <c r="D41" s="20">
        <f>D40</f>
        <v>124473.7</v>
      </c>
      <c r="E41" s="6"/>
    </row>
    <row r="42" ht="14.25" customHeight="1"/>
    <row r="43" ht="42.0" customHeight="1">
      <c r="C43" s="42" t="s">
        <v>156</v>
      </c>
    </row>
    <row r="44" ht="14.25" customHeight="1">
      <c r="C44" s="28"/>
    </row>
    <row r="45" ht="14.25" customHeight="1"/>
    <row r="46" ht="14.25" customHeight="1"/>
    <row r="47" ht="14.25" customHeight="1">
      <c r="E47" s="26" t="s">
        <v>98</v>
      </c>
    </row>
    <row r="48" ht="14.25" customHeight="1"/>
    <row r="49" ht="14.25" customHeight="1"/>
    <row r="50" ht="14.25" customHeight="1">
      <c r="C50" s="23"/>
    </row>
    <row r="51" ht="14.25" customHeight="1">
      <c r="C51" s="23"/>
      <c r="D51" s="23"/>
    </row>
    <row r="52" ht="14.25" customHeight="1">
      <c r="C52" s="23"/>
      <c r="D52" s="23"/>
    </row>
    <row r="53" ht="14.25" customHeight="1">
      <c r="C53" s="23"/>
      <c r="D53" s="23"/>
    </row>
    <row r="54" ht="14.25" customHeight="1">
      <c r="C54" s="23"/>
      <c r="D54" s="23"/>
    </row>
    <row r="55" ht="14.25" customHeight="1">
      <c r="C55" s="23"/>
      <c r="D55" s="23"/>
    </row>
    <row r="56" ht="14.25" customHeight="1"/>
    <row r="57" ht="14.25" customHeight="1">
      <c r="C57" s="23"/>
      <c r="D57" s="23"/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mergeCells count="3">
    <mergeCell ref="B2:E2"/>
    <mergeCell ref="B3:E3"/>
    <mergeCell ref="C43:D43"/>
  </mergeCells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37.29"/>
    <col customWidth="1" min="4" max="4" width="25.29"/>
    <col customWidth="1" min="5" max="5" width="17.0"/>
    <col customWidth="1" min="6" max="26" width="8.71"/>
  </cols>
  <sheetData>
    <row r="1" ht="14.25" customHeight="1"/>
    <row r="2">
      <c r="B2" s="13" t="s">
        <v>76</v>
      </c>
      <c r="C2" s="14"/>
      <c r="D2" s="14"/>
      <c r="E2" s="15"/>
    </row>
    <row r="3">
      <c r="B3" s="38" t="s">
        <v>157</v>
      </c>
      <c r="C3" s="14"/>
      <c r="D3" s="14"/>
      <c r="E3" s="15"/>
    </row>
    <row r="4" ht="14.25" customHeight="1">
      <c r="B4" s="17" t="s">
        <v>78</v>
      </c>
      <c r="C4" s="17" t="s">
        <v>79</v>
      </c>
      <c r="D4" s="18" t="s">
        <v>80</v>
      </c>
      <c r="E4" s="18" t="s">
        <v>81</v>
      </c>
    </row>
    <row r="5" ht="14.25" customHeight="1">
      <c r="B5" s="39">
        <v>45717.0</v>
      </c>
      <c r="C5" s="17" t="s">
        <v>82</v>
      </c>
      <c r="D5" s="35">
        <v>124473.7</v>
      </c>
      <c r="E5" s="6"/>
    </row>
    <row r="6" ht="14.25" customHeight="1">
      <c r="B6" s="21"/>
      <c r="C6" s="5" t="s">
        <v>83</v>
      </c>
      <c r="D6" s="6">
        <v>0.0</v>
      </c>
      <c r="E6" s="6"/>
    </row>
    <row r="7" ht="14.25" customHeight="1">
      <c r="B7" s="21"/>
      <c r="C7" s="5" t="s">
        <v>84</v>
      </c>
      <c r="D7" s="6">
        <f>D5-D6</f>
        <v>124473.7</v>
      </c>
      <c r="E7" s="6"/>
    </row>
    <row r="8" ht="14.25" customHeight="1">
      <c r="B8" s="21"/>
      <c r="C8" s="5"/>
      <c r="D8" s="6"/>
      <c r="E8" s="6"/>
    </row>
    <row r="9" ht="14.25" customHeight="1">
      <c r="B9" s="21"/>
      <c r="C9" s="17" t="s">
        <v>85</v>
      </c>
      <c r="D9" s="6"/>
      <c r="E9" s="6"/>
    </row>
    <row r="10" ht="14.25" customHeight="1">
      <c r="B10" s="21"/>
      <c r="C10" s="5" t="s">
        <v>5</v>
      </c>
      <c r="D10" s="8">
        <v>72800.0</v>
      </c>
      <c r="E10" s="6"/>
    </row>
    <row r="11" ht="14.25" customHeight="1">
      <c r="B11" s="21"/>
      <c r="C11" s="9" t="s">
        <v>60</v>
      </c>
      <c r="D11" s="8">
        <v>31698.0</v>
      </c>
      <c r="E11" s="6"/>
    </row>
    <row r="12" ht="14.25" customHeight="1">
      <c r="B12" s="21"/>
      <c r="C12" s="17" t="s">
        <v>86</v>
      </c>
      <c r="D12" s="20">
        <f>SUM(D10,D11)</f>
        <v>104498</v>
      </c>
      <c r="E12" s="6"/>
    </row>
    <row r="13" ht="14.25" customHeight="1">
      <c r="B13" s="21"/>
      <c r="C13" s="17" t="s">
        <v>87</v>
      </c>
      <c r="D13" s="20">
        <f>D5+D12</f>
        <v>228971.7</v>
      </c>
      <c r="E13" s="6"/>
    </row>
    <row r="14" ht="14.25" customHeight="1">
      <c r="B14" s="21"/>
      <c r="C14" s="5"/>
      <c r="D14" s="6"/>
      <c r="E14" s="6"/>
    </row>
    <row r="15" ht="14.25" customHeight="1">
      <c r="B15" s="34"/>
      <c r="C15" s="17" t="s">
        <v>88</v>
      </c>
      <c r="D15" s="6"/>
      <c r="E15" s="6"/>
    </row>
    <row r="16" ht="14.25" customHeight="1">
      <c r="B16" s="34">
        <v>45723.0</v>
      </c>
      <c r="C16" s="5" t="s">
        <v>8</v>
      </c>
      <c r="D16" s="6"/>
      <c r="E16" s="8">
        <v>15000.0</v>
      </c>
    </row>
    <row r="17" ht="14.25" customHeight="1">
      <c r="B17" s="34">
        <v>45723.0</v>
      </c>
      <c r="C17" s="5" t="s">
        <v>25</v>
      </c>
      <c r="D17" s="6"/>
      <c r="E17" s="8">
        <v>27500.0</v>
      </c>
    </row>
    <row r="18" ht="14.25" customHeight="1">
      <c r="B18" s="34">
        <v>45733.0</v>
      </c>
      <c r="C18" s="5" t="s">
        <v>9</v>
      </c>
      <c r="D18" s="6"/>
      <c r="E18" s="8">
        <v>9771.0</v>
      </c>
    </row>
    <row r="19" ht="14.25" customHeight="1">
      <c r="B19" s="34">
        <v>45733.0</v>
      </c>
      <c r="C19" s="9" t="s">
        <v>31</v>
      </c>
      <c r="D19" s="6"/>
      <c r="E19" s="8">
        <v>7822.0</v>
      </c>
    </row>
    <row r="20" ht="14.25" customHeight="1">
      <c r="B20" s="34"/>
      <c r="C20" s="9"/>
      <c r="D20" s="6"/>
      <c r="E20" s="8"/>
    </row>
    <row r="21" ht="14.25" customHeight="1">
      <c r="B21" s="21"/>
      <c r="C21" s="17"/>
      <c r="D21" s="6"/>
      <c r="E21" s="20"/>
    </row>
    <row r="22" ht="14.25" customHeight="1">
      <c r="B22" s="21"/>
      <c r="C22" s="17" t="s">
        <v>89</v>
      </c>
      <c r="D22" s="6"/>
      <c r="E22" s="20">
        <f>SUM(E16:E20)</f>
        <v>60093</v>
      </c>
    </row>
    <row r="23" ht="14.25" customHeight="1">
      <c r="B23" s="29"/>
      <c r="C23" s="17" t="s">
        <v>90</v>
      </c>
      <c r="D23" s="20">
        <f>D13-E22</f>
        <v>168878.7</v>
      </c>
      <c r="E23" s="6"/>
    </row>
    <row r="24" ht="14.25" customHeight="1">
      <c r="B24" s="21"/>
      <c r="C24" s="17"/>
      <c r="D24" s="20"/>
      <c r="E24" s="6"/>
    </row>
    <row r="25" ht="14.25" customHeight="1">
      <c r="B25" s="21"/>
      <c r="C25" s="17" t="s">
        <v>91</v>
      </c>
      <c r="D25" s="6"/>
      <c r="E25" s="20"/>
    </row>
    <row r="26" ht="14.25" customHeight="1">
      <c r="B26" s="21"/>
      <c r="C26" s="40" t="s">
        <v>154</v>
      </c>
      <c r="D26" s="6"/>
      <c r="E26" s="6">
        <v>0.0</v>
      </c>
    </row>
    <row r="27" ht="14.25" customHeight="1">
      <c r="B27" s="21"/>
      <c r="C27" s="40" t="s">
        <v>158</v>
      </c>
      <c r="D27" s="6"/>
      <c r="E27" s="35">
        <v>-2499.0</v>
      </c>
    </row>
    <row r="28" ht="14.25" customHeight="1">
      <c r="B28" s="19"/>
      <c r="C28" s="5"/>
      <c r="D28" s="6"/>
      <c r="E28" s="6"/>
      <c r="K28" s="22"/>
    </row>
    <row r="29" ht="14.25" customHeight="1">
      <c r="B29" s="34">
        <v>45718.0</v>
      </c>
      <c r="C29" s="5" t="s">
        <v>11</v>
      </c>
      <c r="D29" s="6"/>
      <c r="E29" s="6">
        <v>1500.0</v>
      </c>
      <c r="K29" s="22"/>
    </row>
    <row r="30" ht="14.25" customHeight="1">
      <c r="B30" s="34">
        <v>45718.0</v>
      </c>
      <c r="C30" s="5" t="s">
        <v>12</v>
      </c>
      <c r="D30" s="6"/>
      <c r="E30" s="6">
        <v>500.0</v>
      </c>
    </row>
    <row r="31" ht="14.25" customHeight="1">
      <c r="B31" s="34"/>
      <c r="C31" s="9"/>
      <c r="D31" s="6"/>
      <c r="E31" s="8"/>
    </row>
    <row r="32" ht="14.25" customHeight="1">
      <c r="B32" s="34"/>
      <c r="C32" s="9"/>
      <c r="D32" s="6"/>
      <c r="E32" s="8"/>
    </row>
    <row r="33" ht="14.25" customHeight="1">
      <c r="B33" s="34"/>
      <c r="C33" s="9"/>
      <c r="D33" s="6"/>
      <c r="E33" s="8"/>
    </row>
    <row r="34" ht="14.25" customHeight="1">
      <c r="B34" s="34"/>
      <c r="C34" s="9"/>
      <c r="D34" s="6"/>
      <c r="E34" s="8"/>
    </row>
    <row r="35" ht="14.25" customHeight="1">
      <c r="B35" s="19"/>
      <c r="C35" s="5"/>
      <c r="D35" s="6"/>
      <c r="E35" s="6"/>
    </row>
    <row r="36" ht="14.25" customHeight="1">
      <c r="B36" s="5"/>
      <c r="C36" s="17" t="s">
        <v>94</v>
      </c>
      <c r="D36" s="6"/>
      <c r="E36" s="20">
        <f>sum(E29:E34)</f>
        <v>2000</v>
      </c>
    </row>
    <row r="37" ht="14.25" customHeight="1">
      <c r="B37" s="5"/>
      <c r="C37" s="17"/>
      <c r="D37" s="6"/>
      <c r="E37" s="20"/>
    </row>
    <row r="38" ht="14.25" customHeight="1">
      <c r="B38" s="24"/>
      <c r="C38" s="17" t="s">
        <v>95</v>
      </c>
      <c r="D38" s="20">
        <f>E26+E27-E36</f>
        <v>-4499</v>
      </c>
      <c r="E38" s="20"/>
    </row>
    <row r="39" ht="14.25" customHeight="1">
      <c r="B39" s="5"/>
      <c r="C39" s="5"/>
      <c r="D39" s="6"/>
      <c r="E39" s="6"/>
    </row>
    <row r="40" ht="14.25" customHeight="1">
      <c r="B40" s="41">
        <v>45747.0</v>
      </c>
      <c r="C40" s="17" t="s">
        <v>96</v>
      </c>
      <c r="D40" s="20">
        <f>D23</f>
        <v>168878.7</v>
      </c>
      <c r="E40" s="6"/>
    </row>
    <row r="41" ht="14.25" customHeight="1">
      <c r="B41" s="41">
        <v>45747.0</v>
      </c>
      <c r="C41" s="17" t="s">
        <v>97</v>
      </c>
      <c r="D41" s="20">
        <f>D40</f>
        <v>168878.7</v>
      </c>
      <c r="E41" s="6"/>
    </row>
    <row r="42" ht="14.25" customHeight="1"/>
    <row r="43">
      <c r="C43" s="42"/>
    </row>
    <row r="44" ht="14.25" customHeight="1">
      <c r="C44" s="28"/>
    </row>
    <row r="45" ht="14.25" customHeight="1"/>
    <row r="46" ht="14.25" customHeight="1"/>
    <row r="47" ht="14.25" customHeight="1">
      <c r="E47" s="26" t="s">
        <v>98</v>
      </c>
    </row>
    <row r="48" ht="14.25" customHeight="1"/>
    <row r="49" ht="14.25" customHeight="1"/>
    <row r="50" ht="14.25" customHeight="1">
      <c r="C50" s="23"/>
    </row>
    <row r="51" ht="14.25" customHeight="1">
      <c r="C51" s="23"/>
      <c r="D51" s="23"/>
    </row>
    <row r="52" ht="14.25" customHeight="1">
      <c r="C52" s="23"/>
      <c r="D52" s="23"/>
    </row>
    <row r="53" ht="14.25" customHeight="1">
      <c r="C53" s="23"/>
      <c r="D53" s="23"/>
    </row>
    <row r="54" ht="14.25" customHeight="1">
      <c r="C54" s="23"/>
      <c r="D54" s="23"/>
    </row>
    <row r="55" ht="14.25" customHeight="1">
      <c r="C55" s="23"/>
      <c r="D55" s="23"/>
    </row>
    <row r="56" ht="14.25" customHeight="1"/>
    <row r="57" ht="14.25" customHeight="1">
      <c r="C57" s="23"/>
      <c r="D57" s="23"/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mergeCells count="3">
    <mergeCell ref="B2:E2"/>
    <mergeCell ref="B3:E3"/>
    <mergeCell ref="C43:D43"/>
  </mergeCells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37.29"/>
    <col customWidth="1" min="4" max="4" width="25.29"/>
    <col customWidth="1" min="5" max="5" width="17.0"/>
    <col customWidth="1" min="6" max="26" width="8.71"/>
  </cols>
  <sheetData>
    <row r="1" ht="14.25" customHeight="1"/>
    <row r="2">
      <c r="B2" s="13" t="s">
        <v>76</v>
      </c>
      <c r="C2" s="14"/>
      <c r="D2" s="14"/>
      <c r="E2" s="15"/>
    </row>
    <row r="3">
      <c r="B3" s="38" t="s">
        <v>159</v>
      </c>
      <c r="C3" s="14"/>
      <c r="D3" s="14"/>
      <c r="E3" s="15"/>
    </row>
    <row r="4" ht="14.25" customHeight="1">
      <c r="B4" s="17" t="s">
        <v>78</v>
      </c>
      <c r="C4" s="17" t="s">
        <v>79</v>
      </c>
      <c r="D4" s="18" t="s">
        <v>80</v>
      </c>
      <c r="E4" s="18" t="s">
        <v>81</v>
      </c>
    </row>
    <row r="5" ht="14.25" customHeight="1">
      <c r="B5" s="39">
        <v>45748.0</v>
      </c>
      <c r="C5" s="17" t="s">
        <v>82</v>
      </c>
      <c r="D5" s="20">
        <v>168878.7</v>
      </c>
      <c r="E5" s="6"/>
    </row>
    <row r="6" ht="14.25" customHeight="1">
      <c r="B6" s="21"/>
      <c r="C6" s="5" t="s">
        <v>83</v>
      </c>
      <c r="D6" s="6">
        <v>0.0</v>
      </c>
      <c r="E6" s="6"/>
    </row>
    <row r="7" ht="14.25" customHeight="1">
      <c r="B7" s="21"/>
      <c r="C7" s="5" t="s">
        <v>84</v>
      </c>
      <c r="D7" s="6">
        <f>D5-D6</f>
        <v>168878.7</v>
      </c>
      <c r="E7" s="6"/>
    </row>
    <row r="8" ht="14.25" customHeight="1">
      <c r="B8" s="21"/>
      <c r="C8" s="5"/>
      <c r="D8" s="6"/>
      <c r="E8" s="6"/>
    </row>
    <row r="9" ht="14.25" customHeight="1">
      <c r="B9" s="21"/>
      <c r="C9" s="17" t="s">
        <v>85</v>
      </c>
      <c r="D9" s="6"/>
      <c r="E9" s="6"/>
    </row>
    <row r="10" ht="14.25" customHeight="1">
      <c r="B10" s="21"/>
      <c r="C10" s="5" t="s">
        <v>5</v>
      </c>
      <c r="D10" s="8">
        <v>140400.0</v>
      </c>
      <c r="E10" s="6"/>
    </row>
    <row r="11" ht="14.25" customHeight="1">
      <c r="B11" s="21"/>
      <c r="C11" s="9" t="s">
        <v>60</v>
      </c>
      <c r="D11" s="8">
        <v>0.0</v>
      </c>
      <c r="E11" s="6"/>
    </row>
    <row r="12" ht="14.25" customHeight="1">
      <c r="B12" s="21"/>
      <c r="C12" s="17" t="s">
        <v>86</v>
      </c>
      <c r="D12" s="20">
        <f>SUM(D10,D11)</f>
        <v>140400</v>
      </c>
      <c r="E12" s="6"/>
    </row>
    <row r="13" ht="14.25" customHeight="1">
      <c r="B13" s="21"/>
      <c r="C13" s="17" t="s">
        <v>87</v>
      </c>
      <c r="D13" s="20">
        <f>D5+D12</f>
        <v>309278.7</v>
      </c>
      <c r="E13" s="6"/>
    </row>
    <row r="14" ht="14.25" customHeight="1">
      <c r="B14" s="21"/>
      <c r="C14" s="5"/>
      <c r="D14" s="6"/>
      <c r="E14" s="6"/>
    </row>
    <row r="15" ht="14.25" customHeight="1">
      <c r="B15" s="34"/>
      <c r="C15" s="17" t="s">
        <v>88</v>
      </c>
      <c r="D15" s="6"/>
      <c r="E15" s="6"/>
    </row>
    <row r="16" ht="14.25" customHeight="1">
      <c r="B16" s="34">
        <v>45754.0</v>
      </c>
      <c r="C16" s="5" t="s">
        <v>8</v>
      </c>
      <c r="D16" s="6"/>
      <c r="E16" s="8">
        <v>15000.0</v>
      </c>
    </row>
    <row r="17" ht="14.25" customHeight="1">
      <c r="B17" s="34">
        <v>45762.0</v>
      </c>
      <c r="C17" s="5" t="s">
        <v>25</v>
      </c>
      <c r="D17" s="6"/>
      <c r="E17" s="8">
        <v>29000.0</v>
      </c>
    </row>
    <row r="18" ht="14.25" customHeight="1">
      <c r="B18" s="34">
        <v>45764.0</v>
      </c>
      <c r="C18" s="5" t="s">
        <v>9</v>
      </c>
      <c r="D18" s="6"/>
      <c r="E18" s="8">
        <v>10538.0</v>
      </c>
    </row>
    <row r="19" ht="14.25" customHeight="1">
      <c r="B19" s="34">
        <v>45763.0</v>
      </c>
      <c r="C19" s="9" t="s">
        <v>31</v>
      </c>
      <c r="D19" s="6"/>
      <c r="E19" s="8">
        <v>8278.0</v>
      </c>
    </row>
    <row r="20" ht="14.25" customHeight="1">
      <c r="B20" s="34">
        <v>45750.0</v>
      </c>
      <c r="C20" s="9" t="s">
        <v>142</v>
      </c>
      <c r="D20" s="6"/>
      <c r="E20" s="8">
        <v>25000.0</v>
      </c>
    </row>
    <row r="21" ht="14.25" customHeight="1">
      <c r="B21" s="39">
        <v>45764.0</v>
      </c>
      <c r="C21" s="9" t="s">
        <v>160</v>
      </c>
      <c r="D21" s="6"/>
      <c r="E21" s="8">
        <v>23306.0</v>
      </c>
    </row>
    <row r="22" ht="14.25" customHeight="1">
      <c r="B22" s="43">
        <v>45756.0</v>
      </c>
      <c r="C22" s="9" t="s">
        <v>18</v>
      </c>
      <c r="E22" s="10">
        <v>11.8</v>
      </c>
    </row>
    <row r="23" ht="14.25" customHeight="1">
      <c r="B23" s="29"/>
      <c r="C23" s="17" t="s">
        <v>89</v>
      </c>
      <c r="D23" s="6"/>
      <c r="E23" s="20">
        <f>SUM(E16:E22)</f>
        <v>111133.8</v>
      </c>
    </row>
    <row r="24" ht="14.25" customHeight="1">
      <c r="B24" s="21"/>
      <c r="C24" s="17" t="s">
        <v>90</v>
      </c>
      <c r="D24" s="20">
        <f>D13-E23</f>
        <v>198144.9</v>
      </c>
      <c r="E24" s="6"/>
    </row>
    <row r="25" ht="14.25" customHeight="1">
      <c r="B25" s="21"/>
      <c r="C25" s="17" t="s">
        <v>91</v>
      </c>
      <c r="D25" s="6"/>
      <c r="E25" s="20"/>
    </row>
    <row r="26" ht="14.25" customHeight="1">
      <c r="B26" s="21"/>
      <c r="C26" s="40" t="s">
        <v>161</v>
      </c>
      <c r="D26" s="6"/>
      <c r="E26" s="35">
        <v>25000.0</v>
      </c>
    </row>
    <row r="27" ht="14.25" customHeight="1">
      <c r="B27" s="21"/>
      <c r="C27" s="40" t="s">
        <v>162</v>
      </c>
      <c r="D27" s="6"/>
      <c r="E27" s="20">
        <v>-4499.0</v>
      </c>
    </row>
    <row r="28" ht="14.25" customHeight="1">
      <c r="B28" s="19"/>
      <c r="C28" s="5"/>
      <c r="D28" s="6"/>
      <c r="E28" s="6"/>
      <c r="K28" s="22"/>
    </row>
    <row r="29" ht="14.25" customHeight="1">
      <c r="B29" s="34">
        <v>45749.0</v>
      </c>
      <c r="C29" s="5" t="s">
        <v>11</v>
      </c>
      <c r="D29" s="6"/>
      <c r="E29" s="6">
        <v>1500.0</v>
      </c>
      <c r="K29" s="22"/>
    </row>
    <row r="30" ht="14.25" customHeight="1">
      <c r="B30" s="34">
        <v>45749.0</v>
      </c>
      <c r="C30" s="5" t="s">
        <v>12</v>
      </c>
      <c r="D30" s="6"/>
      <c r="E30" s="6">
        <v>500.0</v>
      </c>
    </row>
    <row r="31" ht="14.25" customHeight="1">
      <c r="B31" s="34"/>
      <c r="C31" s="9" t="s">
        <v>22</v>
      </c>
      <c r="D31" s="6"/>
      <c r="E31" s="8">
        <v>1000.0</v>
      </c>
    </row>
    <row r="32" ht="30.75" customHeight="1">
      <c r="B32" s="34">
        <v>45752.0</v>
      </c>
      <c r="C32" s="9" t="s">
        <v>163</v>
      </c>
      <c r="D32" s="6"/>
      <c r="E32" s="8">
        <f>3750+1700</f>
        <v>5450</v>
      </c>
    </row>
    <row r="33" ht="14.25" customHeight="1">
      <c r="B33" s="34"/>
      <c r="C33" s="9"/>
      <c r="D33" s="6"/>
      <c r="E33" s="8"/>
    </row>
    <row r="34" ht="14.25" customHeight="1">
      <c r="B34" s="34"/>
      <c r="C34" s="9"/>
      <c r="D34" s="6"/>
      <c r="E34" s="8"/>
    </row>
    <row r="35" ht="14.25" customHeight="1">
      <c r="B35" s="19"/>
      <c r="C35" s="5"/>
      <c r="D35" s="6"/>
      <c r="E35" s="6"/>
    </row>
    <row r="36" ht="14.25" customHeight="1">
      <c r="B36" s="5"/>
      <c r="C36" s="17" t="s">
        <v>94</v>
      </c>
      <c r="D36" s="6"/>
      <c r="E36" s="20">
        <f>sum(E29:E34)</f>
        <v>8450</v>
      </c>
    </row>
    <row r="37" ht="14.25" customHeight="1">
      <c r="B37" s="5"/>
      <c r="C37" s="17"/>
      <c r="D37" s="6"/>
      <c r="E37" s="20"/>
    </row>
    <row r="38" ht="14.25" customHeight="1">
      <c r="B38" s="24"/>
      <c r="C38" s="17" t="s">
        <v>95</v>
      </c>
      <c r="D38" s="20">
        <f>E26+E27-E36</f>
        <v>12051</v>
      </c>
      <c r="E38" s="20"/>
    </row>
    <row r="39" ht="14.25" customHeight="1">
      <c r="B39" s="5"/>
      <c r="C39" s="5"/>
      <c r="D39" s="6"/>
      <c r="E39" s="6"/>
    </row>
    <row r="40" ht="14.25" customHeight="1">
      <c r="B40" s="41">
        <v>45777.0</v>
      </c>
      <c r="C40" s="17" t="s">
        <v>96</v>
      </c>
      <c r="D40" s="20">
        <f>D24</f>
        <v>198144.9</v>
      </c>
      <c r="E40" s="6"/>
    </row>
    <row r="41" ht="14.25" customHeight="1">
      <c r="B41" s="41">
        <v>45777.0</v>
      </c>
      <c r="C41" s="17" t="s">
        <v>97</v>
      </c>
      <c r="D41" s="20">
        <f>D40</f>
        <v>198144.9</v>
      </c>
      <c r="E41" s="6"/>
    </row>
    <row r="42" ht="14.25" customHeight="1"/>
    <row r="43">
      <c r="C43" s="42"/>
    </row>
    <row r="44" ht="14.25" customHeight="1">
      <c r="C44" s="28"/>
    </row>
    <row r="45" ht="14.25" customHeight="1"/>
    <row r="46" ht="14.25" customHeight="1"/>
    <row r="47" ht="14.25" customHeight="1">
      <c r="E47" s="26" t="s">
        <v>98</v>
      </c>
    </row>
    <row r="48" ht="14.25" customHeight="1"/>
    <row r="49" ht="14.25" customHeight="1"/>
    <row r="50" ht="14.25" customHeight="1">
      <c r="C50" s="23"/>
    </row>
    <row r="51" ht="14.25" customHeight="1">
      <c r="C51" s="23"/>
      <c r="D51" s="23"/>
    </row>
    <row r="52" ht="14.25" customHeight="1">
      <c r="C52" s="23"/>
      <c r="D52" s="23"/>
    </row>
    <row r="53" ht="14.25" customHeight="1">
      <c r="C53" s="23"/>
      <c r="D53" s="23"/>
    </row>
    <row r="54" ht="14.25" customHeight="1">
      <c r="C54" s="23"/>
      <c r="D54" s="23"/>
    </row>
    <row r="55" ht="14.25" customHeight="1">
      <c r="C55" s="23"/>
      <c r="D55" s="23"/>
    </row>
    <row r="56" ht="14.25" customHeight="1"/>
    <row r="57" ht="14.25" customHeight="1">
      <c r="C57" s="23"/>
      <c r="D57" s="23"/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mergeCells count="3">
    <mergeCell ref="B2:E2"/>
    <mergeCell ref="B3:E3"/>
    <mergeCell ref="C43:D43"/>
  </mergeCells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37.29"/>
    <col customWidth="1" min="4" max="4" width="25.29"/>
    <col customWidth="1" min="5" max="5" width="17.0"/>
    <col customWidth="1" min="6" max="26" width="8.71"/>
  </cols>
  <sheetData>
    <row r="1" ht="14.25" customHeight="1"/>
    <row r="2">
      <c r="B2" s="13" t="s">
        <v>76</v>
      </c>
      <c r="C2" s="14"/>
      <c r="D2" s="14"/>
      <c r="E2" s="15"/>
    </row>
    <row r="3">
      <c r="B3" s="38" t="s">
        <v>164</v>
      </c>
      <c r="C3" s="14"/>
      <c r="D3" s="14"/>
      <c r="E3" s="15"/>
    </row>
    <row r="4" ht="14.25" customHeight="1">
      <c r="B4" s="17" t="s">
        <v>78</v>
      </c>
      <c r="C4" s="17" t="s">
        <v>79</v>
      </c>
      <c r="D4" s="18" t="s">
        <v>80</v>
      </c>
      <c r="E4" s="18" t="s">
        <v>81</v>
      </c>
    </row>
    <row r="5" ht="14.25" customHeight="1">
      <c r="B5" s="39">
        <v>45778.0</v>
      </c>
      <c r="C5" s="17" t="s">
        <v>82</v>
      </c>
      <c r="D5" s="20">
        <v>198144.90000000002</v>
      </c>
      <c r="E5" s="6"/>
    </row>
    <row r="6" ht="14.25" customHeight="1">
      <c r="B6" s="21"/>
      <c r="C6" s="5" t="s">
        <v>83</v>
      </c>
      <c r="D6" s="6">
        <v>0.0</v>
      </c>
      <c r="E6" s="6"/>
    </row>
    <row r="7" ht="14.25" customHeight="1">
      <c r="B7" s="21"/>
      <c r="C7" s="5" t="s">
        <v>84</v>
      </c>
      <c r="D7" s="6">
        <f>D5-D6</f>
        <v>198144.9</v>
      </c>
      <c r="E7" s="6"/>
    </row>
    <row r="8" ht="14.25" customHeight="1">
      <c r="B8" s="21"/>
      <c r="C8" s="5"/>
      <c r="D8" s="6"/>
      <c r="E8" s="6"/>
    </row>
    <row r="9" ht="14.25" customHeight="1">
      <c r="B9" s="21"/>
      <c r="C9" s="17" t="s">
        <v>85</v>
      </c>
      <c r="D9" s="6"/>
      <c r="E9" s="6"/>
    </row>
    <row r="10" ht="14.25" customHeight="1">
      <c r="B10" s="21"/>
      <c r="C10" s="5" t="s">
        <v>5</v>
      </c>
      <c r="D10" s="8">
        <v>54600.0</v>
      </c>
      <c r="E10" s="6"/>
    </row>
    <row r="11" ht="14.25" customHeight="1">
      <c r="B11" s="21"/>
      <c r="C11" s="9" t="s">
        <v>60</v>
      </c>
      <c r="D11" s="8">
        <v>0.0</v>
      </c>
      <c r="E11" s="6"/>
    </row>
    <row r="12" ht="14.25" customHeight="1">
      <c r="B12" s="21"/>
      <c r="C12" s="17" t="s">
        <v>86</v>
      </c>
      <c r="D12" s="20">
        <f>SUM(D10,D11)</f>
        <v>54600</v>
      </c>
      <c r="E12" s="6"/>
    </row>
    <row r="13" ht="14.25" customHeight="1">
      <c r="B13" s="21"/>
      <c r="C13" s="17" t="s">
        <v>87</v>
      </c>
      <c r="D13" s="20">
        <f>D5+D12</f>
        <v>252744.9</v>
      </c>
      <c r="E13" s="6"/>
    </row>
    <row r="14" ht="14.25" customHeight="1">
      <c r="B14" s="21"/>
      <c r="C14" s="5"/>
      <c r="D14" s="6"/>
      <c r="E14" s="6"/>
    </row>
    <row r="15" ht="14.25" customHeight="1">
      <c r="B15" s="34"/>
      <c r="C15" s="17" t="s">
        <v>88</v>
      </c>
      <c r="D15" s="6"/>
      <c r="E15" s="6"/>
    </row>
    <row r="16" ht="14.25" customHeight="1">
      <c r="B16" s="34">
        <v>45783.0</v>
      </c>
      <c r="C16" s="5" t="s">
        <v>8</v>
      </c>
      <c r="D16" s="6"/>
      <c r="E16" s="8">
        <v>15000.0</v>
      </c>
    </row>
    <row r="17" ht="14.25" customHeight="1">
      <c r="B17" s="34">
        <v>45785.0</v>
      </c>
      <c r="C17" s="5" t="s">
        <v>25</v>
      </c>
      <c r="D17" s="6"/>
      <c r="E17" s="8">
        <v>29000.0</v>
      </c>
    </row>
    <row r="18" ht="14.25" customHeight="1">
      <c r="B18" s="34">
        <v>45794.0</v>
      </c>
      <c r="C18" s="5" t="s">
        <v>9</v>
      </c>
      <c r="D18" s="6"/>
      <c r="E18" s="8">
        <v>11508.0</v>
      </c>
    </row>
    <row r="19" ht="14.25" customHeight="1">
      <c r="B19" s="34">
        <v>45798.0</v>
      </c>
      <c r="C19" s="9" t="s">
        <v>31</v>
      </c>
      <c r="D19" s="6"/>
      <c r="E19" s="8">
        <v>9950.0</v>
      </c>
    </row>
    <row r="20" ht="14.25" customHeight="1">
      <c r="B20" s="34"/>
      <c r="C20" s="9"/>
      <c r="D20" s="6"/>
      <c r="E20" s="8"/>
    </row>
    <row r="21" ht="14.25" customHeight="1">
      <c r="B21" s="21"/>
      <c r="C21" s="17"/>
      <c r="D21" s="6"/>
      <c r="E21" s="20"/>
    </row>
    <row r="22" ht="14.25" customHeight="1">
      <c r="B22" s="21"/>
      <c r="C22" s="17" t="s">
        <v>89</v>
      </c>
      <c r="D22" s="6"/>
      <c r="E22" s="20">
        <f>SUM(E16:E20)</f>
        <v>65458</v>
      </c>
    </row>
    <row r="23" ht="14.25" customHeight="1">
      <c r="B23" s="29"/>
      <c r="C23" s="17" t="s">
        <v>90</v>
      </c>
      <c r="D23" s="20">
        <f>D13-E22</f>
        <v>187286.9</v>
      </c>
      <c r="E23" s="6"/>
    </row>
    <row r="24" ht="14.25" customHeight="1">
      <c r="B24" s="21"/>
      <c r="C24" s="17"/>
      <c r="D24" s="20"/>
      <c r="E24" s="6"/>
    </row>
    <row r="25" ht="14.25" customHeight="1">
      <c r="B25" s="21"/>
      <c r="C25" s="17" t="s">
        <v>91</v>
      </c>
      <c r="D25" s="6"/>
      <c r="E25" s="20"/>
    </row>
    <row r="26" ht="14.25" customHeight="1">
      <c r="B26" s="21"/>
      <c r="C26" s="40" t="s">
        <v>165</v>
      </c>
      <c r="D26" s="6"/>
      <c r="E26" s="6">
        <v>0.0</v>
      </c>
    </row>
    <row r="27" ht="14.25" customHeight="1">
      <c r="B27" s="21"/>
      <c r="C27" s="40" t="s">
        <v>166</v>
      </c>
      <c r="D27" s="6"/>
      <c r="E27" s="20">
        <v>12051.0</v>
      </c>
    </row>
    <row r="28" ht="14.25" customHeight="1">
      <c r="B28" s="19"/>
      <c r="C28" s="5"/>
      <c r="D28" s="6"/>
      <c r="E28" s="6"/>
      <c r="K28" s="22"/>
    </row>
    <row r="29" ht="14.25" customHeight="1">
      <c r="B29" s="34">
        <v>45779.0</v>
      </c>
      <c r="C29" s="5" t="s">
        <v>11</v>
      </c>
      <c r="D29" s="6"/>
      <c r="E29" s="6">
        <v>1500.0</v>
      </c>
      <c r="K29" s="22"/>
    </row>
    <row r="30" ht="14.25" customHeight="1">
      <c r="B30" s="34">
        <v>45779.0</v>
      </c>
      <c r="C30" s="5" t="s">
        <v>12</v>
      </c>
      <c r="D30" s="6"/>
      <c r="E30" s="6">
        <v>500.0</v>
      </c>
    </row>
    <row r="31" ht="14.25" customHeight="1">
      <c r="B31" s="34">
        <v>45787.0</v>
      </c>
      <c r="C31" s="9" t="s">
        <v>167</v>
      </c>
      <c r="D31" s="6"/>
      <c r="E31" s="8">
        <v>2550.0</v>
      </c>
    </row>
    <row r="32" ht="14.25" customHeight="1">
      <c r="B32" s="34">
        <v>45784.0</v>
      </c>
      <c r="C32" s="9" t="s">
        <v>33</v>
      </c>
      <c r="D32" s="6"/>
      <c r="E32" s="8">
        <v>840.0</v>
      </c>
    </row>
    <row r="33" ht="14.25" customHeight="1">
      <c r="B33" s="34">
        <v>45798.0</v>
      </c>
      <c r="C33" s="9" t="s">
        <v>168</v>
      </c>
      <c r="D33" s="6"/>
      <c r="E33" s="8">
        <v>2050.0</v>
      </c>
    </row>
    <row r="34" ht="14.25" customHeight="1">
      <c r="B34" s="34"/>
      <c r="C34" s="9"/>
      <c r="D34" s="6"/>
      <c r="E34" s="8"/>
    </row>
    <row r="35" ht="14.25" customHeight="1">
      <c r="B35" s="19"/>
      <c r="C35" s="5"/>
      <c r="D35" s="6"/>
      <c r="E35" s="6"/>
    </row>
    <row r="36" ht="14.25" customHeight="1">
      <c r="B36" s="5"/>
      <c r="C36" s="17" t="s">
        <v>94</v>
      </c>
      <c r="D36" s="6"/>
      <c r="E36" s="20">
        <f>sum(E29:E34)</f>
        <v>7440</v>
      </c>
    </row>
    <row r="37" ht="14.25" customHeight="1">
      <c r="B37" s="5"/>
      <c r="C37" s="17"/>
      <c r="D37" s="6"/>
      <c r="E37" s="20"/>
    </row>
    <row r="38" ht="14.25" customHeight="1">
      <c r="B38" s="24"/>
      <c r="C38" s="17" t="s">
        <v>95</v>
      </c>
      <c r="D38" s="20">
        <f>E26+E27-E36</f>
        <v>4611</v>
      </c>
      <c r="E38" s="20"/>
    </row>
    <row r="39" ht="14.25" customHeight="1">
      <c r="B39" s="5"/>
      <c r="C39" s="5"/>
      <c r="D39" s="6"/>
      <c r="E39" s="6"/>
    </row>
    <row r="40" ht="14.25" customHeight="1">
      <c r="B40" s="41">
        <v>45808.0</v>
      </c>
      <c r="C40" s="17" t="s">
        <v>96</v>
      </c>
      <c r="D40" s="20">
        <f>D23</f>
        <v>187286.9</v>
      </c>
      <c r="E40" s="6"/>
    </row>
    <row r="41" ht="14.25" customHeight="1">
      <c r="B41" s="41">
        <v>45808.0</v>
      </c>
      <c r="C41" s="17" t="s">
        <v>97</v>
      </c>
      <c r="D41" s="20">
        <f>D40</f>
        <v>187286.9</v>
      </c>
      <c r="E41" s="6"/>
    </row>
    <row r="42" ht="14.25" customHeight="1"/>
    <row r="43">
      <c r="C43" s="42"/>
    </row>
    <row r="44" ht="14.25" customHeight="1">
      <c r="C44" s="28"/>
    </row>
    <row r="45" ht="14.25" customHeight="1"/>
    <row r="46" ht="14.25" customHeight="1"/>
    <row r="47" ht="14.25" customHeight="1">
      <c r="E47" s="26" t="s">
        <v>98</v>
      </c>
    </row>
    <row r="48" ht="14.25" customHeight="1"/>
    <row r="49" ht="14.25" customHeight="1"/>
    <row r="50" ht="14.25" customHeight="1">
      <c r="C50" s="23"/>
    </row>
    <row r="51" ht="14.25" customHeight="1">
      <c r="C51" s="23"/>
      <c r="D51" s="23"/>
    </row>
    <row r="52" ht="14.25" customHeight="1">
      <c r="C52" s="23"/>
      <c r="D52" s="23"/>
    </row>
    <row r="53" ht="14.25" customHeight="1">
      <c r="C53" s="23"/>
      <c r="D53" s="23"/>
    </row>
    <row r="54" ht="14.25" customHeight="1">
      <c r="C54" s="23"/>
      <c r="D54" s="23"/>
    </row>
    <row r="55" ht="14.25" customHeight="1">
      <c r="C55" s="23"/>
      <c r="D55" s="23"/>
    </row>
    <row r="56" ht="14.25" customHeight="1"/>
    <row r="57" ht="14.25" customHeight="1">
      <c r="C57" s="23"/>
      <c r="D57" s="23"/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mergeCells count="3">
    <mergeCell ref="B2:E2"/>
    <mergeCell ref="B3:E3"/>
    <mergeCell ref="C43:D43"/>
  </mergeCells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37.29"/>
    <col customWidth="1" min="4" max="4" width="25.29"/>
    <col customWidth="1" min="5" max="5" width="17.0"/>
    <col customWidth="1" min="6" max="26" width="8.71"/>
  </cols>
  <sheetData>
    <row r="1" ht="14.25" customHeight="1"/>
    <row r="2">
      <c r="B2" s="13" t="s">
        <v>76</v>
      </c>
      <c r="C2" s="14"/>
      <c r="D2" s="14"/>
      <c r="E2" s="15"/>
    </row>
    <row r="3">
      <c r="B3" s="38" t="s">
        <v>169</v>
      </c>
      <c r="C3" s="14"/>
      <c r="D3" s="14"/>
      <c r="E3" s="15"/>
    </row>
    <row r="4" ht="14.25" customHeight="1">
      <c r="B4" s="17" t="s">
        <v>78</v>
      </c>
      <c r="C4" s="17" t="s">
        <v>79</v>
      </c>
      <c r="D4" s="18" t="s">
        <v>80</v>
      </c>
      <c r="E4" s="18" t="s">
        <v>81</v>
      </c>
    </row>
    <row r="5" ht="14.25" customHeight="1">
      <c r="B5" s="39">
        <v>45809.0</v>
      </c>
      <c r="C5" s="17" t="s">
        <v>82</v>
      </c>
      <c r="D5" s="20">
        <v>187286.90000000002</v>
      </c>
      <c r="E5" s="6"/>
    </row>
    <row r="6" ht="14.25" customHeight="1">
      <c r="B6" s="21"/>
      <c r="C6" s="5" t="s">
        <v>83</v>
      </c>
      <c r="D6" s="6">
        <v>0.0</v>
      </c>
      <c r="E6" s="6"/>
    </row>
    <row r="7" ht="14.25" customHeight="1">
      <c r="B7" s="21"/>
      <c r="C7" s="5" t="s">
        <v>84</v>
      </c>
      <c r="D7" s="6">
        <f>D5-D6</f>
        <v>187286.9</v>
      </c>
      <c r="E7" s="6"/>
    </row>
    <row r="8" ht="14.25" customHeight="1">
      <c r="B8" s="21"/>
      <c r="C8" s="5"/>
      <c r="D8" s="6"/>
      <c r="E8" s="6"/>
    </row>
    <row r="9" ht="14.25" customHeight="1">
      <c r="B9" s="21"/>
      <c r="C9" s="17" t="s">
        <v>85</v>
      </c>
      <c r="D9" s="6"/>
      <c r="E9" s="6"/>
    </row>
    <row r="10" ht="14.25" customHeight="1">
      <c r="B10" s="21"/>
      <c r="C10" s="5" t="s">
        <v>5</v>
      </c>
      <c r="D10" s="8">
        <v>52000.0</v>
      </c>
      <c r="E10" s="6"/>
    </row>
    <row r="11" ht="14.25" customHeight="1">
      <c r="B11" s="21"/>
      <c r="C11" s="9" t="s">
        <v>60</v>
      </c>
      <c r="D11" s="8">
        <v>1302.0</v>
      </c>
      <c r="E11" s="6"/>
    </row>
    <row r="12" ht="14.25" customHeight="1">
      <c r="B12" s="21"/>
      <c r="C12" s="17" t="s">
        <v>86</v>
      </c>
      <c r="D12" s="20">
        <f>SUM(D10,D11)</f>
        <v>53302</v>
      </c>
      <c r="E12" s="6"/>
    </row>
    <row r="13" ht="14.25" customHeight="1">
      <c r="B13" s="21"/>
      <c r="C13" s="17" t="s">
        <v>87</v>
      </c>
      <c r="D13" s="20">
        <f>D5+D12</f>
        <v>240588.9</v>
      </c>
      <c r="E13" s="6"/>
    </row>
    <row r="14" ht="14.25" customHeight="1">
      <c r="B14" s="21"/>
      <c r="C14" s="5"/>
      <c r="D14" s="6"/>
      <c r="E14" s="6"/>
    </row>
    <row r="15" ht="14.25" customHeight="1">
      <c r="B15" s="34"/>
      <c r="C15" s="17" t="s">
        <v>88</v>
      </c>
      <c r="D15" s="6"/>
      <c r="E15" s="6"/>
    </row>
    <row r="16" ht="14.25" customHeight="1">
      <c r="B16" s="34">
        <v>45814.0</v>
      </c>
      <c r="C16" s="5" t="s">
        <v>8</v>
      </c>
      <c r="D16" s="6"/>
      <c r="E16" s="8">
        <v>15000.0</v>
      </c>
    </row>
    <row r="17" ht="14.25" customHeight="1">
      <c r="B17" s="34">
        <v>45819.0</v>
      </c>
      <c r="C17" s="5" t="s">
        <v>25</v>
      </c>
      <c r="D17" s="6"/>
      <c r="E17" s="8">
        <v>29000.0</v>
      </c>
    </row>
    <row r="18" ht="14.25" customHeight="1">
      <c r="B18" s="34">
        <v>45825.0</v>
      </c>
      <c r="C18" s="5" t="s">
        <v>9</v>
      </c>
      <c r="D18" s="6"/>
      <c r="E18" s="8">
        <v>9626.0</v>
      </c>
    </row>
    <row r="19" ht="14.25" customHeight="1">
      <c r="B19" s="34">
        <v>45827.0</v>
      </c>
      <c r="C19" s="9" t="s">
        <v>31</v>
      </c>
      <c r="D19" s="6"/>
      <c r="E19" s="8">
        <v>10250.0</v>
      </c>
    </row>
    <row r="20" ht="14.25" customHeight="1">
      <c r="B20" s="34"/>
      <c r="C20" s="9"/>
      <c r="D20" s="6"/>
      <c r="E20" s="8"/>
    </row>
    <row r="21" ht="14.25" customHeight="1">
      <c r="B21" s="21"/>
      <c r="C21" s="17"/>
      <c r="D21" s="6"/>
      <c r="E21" s="20"/>
    </row>
    <row r="22" ht="14.25" customHeight="1">
      <c r="B22" s="21"/>
      <c r="C22" s="17" t="s">
        <v>89</v>
      </c>
      <c r="D22" s="6"/>
      <c r="E22" s="20">
        <f>SUM(E16:E20)</f>
        <v>63876</v>
      </c>
    </row>
    <row r="23" ht="14.25" customHeight="1">
      <c r="B23" s="29"/>
      <c r="C23" s="17" t="s">
        <v>90</v>
      </c>
      <c r="D23" s="20">
        <f>D13-E22</f>
        <v>176712.9</v>
      </c>
      <c r="E23" s="6"/>
    </row>
    <row r="24" ht="14.25" customHeight="1">
      <c r="B24" s="21"/>
      <c r="C24" s="17"/>
      <c r="D24" s="20"/>
      <c r="E24" s="6"/>
    </row>
    <row r="25" ht="14.25" customHeight="1">
      <c r="B25" s="21"/>
      <c r="C25" s="17" t="s">
        <v>91</v>
      </c>
      <c r="D25" s="6"/>
      <c r="E25" s="20"/>
    </row>
    <row r="26" ht="14.25" customHeight="1">
      <c r="B26" s="21"/>
      <c r="C26" s="40" t="s">
        <v>154</v>
      </c>
      <c r="D26" s="6"/>
      <c r="E26" s="6">
        <v>0.0</v>
      </c>
    </row>
    <row r="27" ht="14.25" customHeight="1">
      <c r="B27" s="21"/>
      <c r="C27" s="40" t="s">
        <v>158</v>
      </c>
      <c r="D27" s="6"/>
      <c r="E27" s="35">
        <v>4611.0</v>
      </c>
    </row>
    <row r="28" ht="14.25" customHeight="1">
      <c r="B28" s="19"/>
      <c r="C28" s="5"/>
      <c r="D28" s="6"/>
      <c r="E28" s="6"/>
      <c r="K28" s="22"/>
    </row>
    <row r="29" ht="14.25" customHeight="1">
      <c r="B29" s="34">
        <v>45809.0</v>
      </c>
      <c r="C29" s="5" t="s">
        <v>22</v>
      </c>
      <c r="D29" s="6"/>
      <c r="E29" s="8">
        <v>1000.0</v>
      </c>
      <c r="K29" s="22"/>
    </row>
    <row r="30" ht="14.25" customHeight="1">
      <c r="B30" s="34">
        <v>45810.0</v>
      </c>
      <c r="C30" s="5" t="s">
        <v>11</v>
      </c>
      <c r="D30" s="6"/>
      <c r="E30" s="6">
        <v>1500.0</v>
      </c>
    </row>
    <row r="31" ht="14.25" customHeight="1">
      <c r="B31" s="34">
        <v>45810.0</v>
      </c>
      <c r="C31" s="9" t="s">
        <v>12</v>
      </c>
      <c r="D31" s="6"/>
      <c r="E31" s="8">
        <v>500.0</v>
      </c>
    </row>
    <row r="32" ht="14.25" customHeight="1">
      <c r="B32" s="34">
        <v>45821.0</v>
      </c>
      <c r="C32" s="9" t="s">
        <v>170</v>
      </c>
      <c r="D32" s="6"/>
      <c r="E32" s="8">
        <v>280.0</v>
      </c>
    </row>
    <row r="33" ht="14.25" customHeight="1">
      <c r="B33" s="34">
        <v>45470.0</v>
      </c>
      <c r="C33" s="9" t="s">
        <v>171</v>
      </c>
      <c r="D33" s="6"/>
      <c r="E33" s="8">
        <v>2300.0</v>
      </c>
    </row>
    <row r="34" ht="14.25" customHeight="1">
      <c r="B34" s="34"/>
      <c r="C34" s="9"/>
      <c r="D34" s="6"/>
      <c r="E34" s="8"/>
    </row>
    <row r="35" ht="14.25" customHeight="1">
      <c r="B35" s="19"/>
      <c r="C35" s="5"/>
      <c r="D35" s="6"/>
      <c r="E35" s="6"/>
    </row>
    <row r="36" ht="14.25" customHeight="1">
      <c r="B36" s="5"/>
      <c r="C36" s="17" t="s">
        <v>94</v>
      </c>
      <c r="D36" s="6"/>
      <c r="E36" s="20">
        <f>sum(E29:E34)</f>
        <v>5580</v>
      </c>
    </row>
    <row r="37" ht="14.25" customHeight="1">
      <c r="B37" s="5"/>
      <c r="C37" s="17"/>
      <c r="D37" s="6"/>
      <c r="E37" s="20"/>
    </row>
    <row r="38" ht="14.25" customHeight="1">
      <c r="B38" s="24"/>
      <c r="C38" s="17" t="s">
        <v>95</v>
      </c>
      <c r="D38" s="20">
        <f>E26+E27-E36</f>
        <v>-969</v>
      </c>
      <c r="E38" s="20"/>
    </row>
    <row r="39" ht="14.25" customHeight="1">
      <c r="B39" s="5"/>
      <c r="C39" s="5"/>
      <c r="D39" s="6"/>
      <c r="E39" s="6"/>
    </row>
    <row r="40" ht="14.25" customHeight="1">
      <c r="B40" s="41">
        <v>45838.0</v>
      </c>
      <c r="C40" s="17" t="s">
        <v>96</v>
      </c>
      <c r="D40" s="20">
        <f>D23</f>
        <v>176712.9</v>
      </c>
      <c r="E40" s="6"/>
    </row>
    <row r="41" ht="14.25" customHeight="1">
      <c r="B41" s="41">
        <v>45838.0</v>
      </c>
      <c r="C41" s="17" t="s">
        <v>97</v>
      </c>
      <c r="D41" s="20">
        <f>D40</f>
        <v>176712.9</v>
      </c>
      <c r="E41" s="6"/>
    </row>
    <row r="42" ht="14.25" customHeight="1"/>
    <row r="43">
      <c r="C43" s="42"/>
    </row>
    <row r="44" ht="14.25" customHeight="1">
      <c r="C44" s="28"/>
    </row>
    <row r="45" ht="14.25" customHeight="1"/>
    <row r="46" ht="14.25" customHeight="1"/>
    <row r="47" ht="14.25" customHeight="1">
      <c r="E47" s="26" t="s">
        <v>98</v>
      </c>
    </row>
    <row r="48" ht="14.25" customHeight="1"/>
    <row r="49" ht="14.25" customHeight="1"/>
    <row r="50" ht="14.25" customHeight="1">
      <c r="C50" s="23"/>
    </row>
    <row r="51" ht="14.25" customHeight="1">
      <c r="C51" s="23"/>
      <c r="D51" s="23"/>
    </row>
    <row r="52" ht="14.25" customHeight="1">
      <c r="C52" s="23"/>
      <c r="D52" s="23"/>
    </row>
    <row r="53" ht="14.25" customHeight="1">
      <c r="C53" s="23"/>
      <c r="D53" s="23"/>
    </row>
    <row r="54" ht="14.25" customHeight="1">
      <c r="C54" s="23"/>
      <c r="D54" s="23"/>
    </row>
    <row r="55" ht="14.25" customHeight="1">
      <c r="C55" s="23"/>
      <c r="D55" s="23"/>
    </row>
    <row r="56" ht="14.25" customHeight="1"/>
    <row r="57" ht="14.25" customHeight="1">
      <c r="C57" s="23"/>
      <c r="D57" s="23"/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mergeCells count="3">
    <mergeCell ref="B2:E2"/>
    <mergeCell ref="B3:E3"/>
    <mergeCell ref="C43:D43"/>
  </mergeCells>
  <printOptions/>
  <pageMargins bottom="0.75" footer="0.0" header="0.0" left="0.7" right="0.7" top="0.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37.29"/>
    <col customWidth="1" min="4" max="4" width="25.29"/>
    <col customWidth="1" min="5" max="5" width="17.0"/>
    <col customWidth="1" min="6" max="26" width="8.71"/>
  </cols>
  <sheetData>
    <row r="1" ht="14.25" customHeight="1"/>
    <row r="2">
      <c r="B2" s="13" t="s">
        <v>76</v>
      </c>
      <c r="C2" s="14"/>
      <c r="D2" s="14"/>
      <c r="E2" s="15"/>
    </row>
    <row r="3">
      <c r="B3" s="38" t="s">
        <v>172</v>
      </c>
      <c r="C3" s="14"/>
      <c r="D3" s="14"/>
      <c r="E3" s="15"/>
    </row>
    <row r="4" ht="14.25" customHeight="1">
      <c r="B4" s="17" t="s">
        <v>78</v>
      </c>
      <c r="C4" s="17" t="s">
        <v>79</v>
      </c>
      <c r="D4" s="18" t="s">
        <v>80</v>
      </c>
      <c r="E4" s="18" t="s">
        <v>81</v>
      </c>
    </row>
    <row r="5" ht="14.25" customHeight="1">
      <c r="B5" s="39">
        <v>45839.0</v>
      </c>
      <c r="C5" s="17" t="s">
        <v>82</v>
      </c>
      <c r="D5" s="20">
        <v>176712.90000000002</v>
      </c>
      <c r="E5" s="6"/>
    </row>
    <row r="6" ht="14.25" customHeight="1">
      <c r="B6" s="21"/>
      <c r="C6" s="5" t="s">
        <v>83</v>
      </c>
      <c r="D6" s="6">
        <v>0.0</v>
      </c>
      <c r="E6" s="6"/>
    </row>
    <row r="7" ht="14.25" customHeight="1">
      <c r="B7" s="21"/>
      <c r="C7" s="5" t="s">
        <v>84</v>
      </c>
      <c r="D7" s="6">
        <f>D5-D6</f>
        <v>176712.9</v>
      </c>
      <c r="E7" s="6"/>
    </row>
    <row r="8" ht="14.25" customHeight="1">
      <c r="B8" s="21"/>
      <c r="C8" s="5"/>
      <c r="D8" s="6"/>
      <c r="E8" s="6"/>
    </row>
    <row r="9" ht="14.25" customHeight="1">
      <c r="B9" s="21"/>
      <c r="C9" s="17" t="s">
        <v>85</v>
      </c>
      <c r="D9" s="6"/>
      <c r="E9" s="6"/>
    </row>
    <row r="10" ht="14.25" customHeight="1">
      <c r="B10" s="21"/>
      <c r="C10" s="5" t="s">
        <v>5</v>
      </c>
      <c r="D10" s="8">
        <v>132600.0</v>
      </c>
      <c r="E10" s="6"/>
    </row>
    <row r="11" ht="14.25" customHeight="1">
      <c r="B11" s="21"/>
      <c r="C11" s="9" t="s">
        <v>60</v>
      </c>
      <c r="D11" s="8"/>
      <c r="E11" s="6"/>
    </row>
    <row r="12" ht="14.25" customHeight="1">
      <c r="B12" s="21"/>
      <c r="C12" s="17" t="s">
        <v>86</v>
      </c>
      <c r="D12" s="20">
        <f>SUM(D10,D11)</f>
        <v>132600</v>
      </c>
      <c r="E12" s="6"/>
    </row>
    <row r="13" ht="14.25" customHeight="1">
      <c r="B13" s="21"/>
      <c r="C13" s="17" t="s">
        <v>87</v>
      </c>
      <c r="D13" s="20">
        <f>D5+D12</f>
        <v>309312.9</v>
      </c>
      <c r="E13" s="6"/>
    </row>
    <row r="14" ht="14.25" customHeight="1">
      <c r="B14" s="21"/>
      <c r="C14" s="5"/>
      <c r="D14" s="6"/>
      <c r="E14" s="6"/>
    </row>
    <row r="15" ht="14.25" customHeight="1">
      <c r="B15" s="34"/>
      <c r="C15" s="17" t="s">
        <v>88</v>
      </c>
      <c r="D15" s="6"/>
      <c r="E15" s="6"/>
    </row>
    <row r="16" ht="14.25" customHeight="1">
      <c r="B16" s="34">
        <v>45848.0</v>
      </c>
      <c r="C16" s="5" t="s">
        <v>8</v>
      </c>
      <c r="D16" s="6"/>
      <c r="E16" s="8">
        <v>15000.0</v>
      </c>
    </row>
    <row r="17" ht="14.25" customHeight="1">
      <c r="B17" s="34">
        <v>45848.0</v>
      </c>
      <c r="C17" s="5" t="s">
        <v>25</v>
      </c>
      <c r="D17" s="6"/>
      <c r="E17" s="8">
        <v>29000.0</v>
      </c>
    </row>
    <row r="18" ht="14.25" customHeight="1">
      <c r="B18" s="34">
        <v>45855.0</v>
      </c>
      <c r="C18" s="5" t="s">
        <v>9</v>
      </c>
      <c r="D18" s="6"/>
      <c r="E18" s="8">
        <v>10583.0</v>
      </c>
    </row>
    <row r="19" ht="14.25" customHeight="1">
      <c r="B19" s="34">
        <v>45860.0</v>
      </c>
      <c r="C19" s="9" t="s">
        <v>31</v>
      </c>
      <c r="D19" s="6"/>
      <c r="E19" s="8">
        <v>10625.0</v>
      </c>
    </row>
    <row r="20" ht="14.25" customHeight="1">
      <c r="B20" s="34">
        <v>45861.0</v>
      </c>
      <c r="C20" s="9" t="s">
        <v>142</v>
      </c>
      <c r="D20" s="6"/>
      <c r="E20" s="8">
        <v>20000.0</v>
      </c>
    </row>
    <row r="21" ht="14.25" customHeight="1">
      <c r="B21" s="21"/>
      <c r="C21" s="17"/>
      <c r="D21" s="6"/>
      <c r="E21" s="20"/>
    </row>
    <row r="22" ht="14.25" customHeight="1">
      <c r="B22" s="21"/>
      <c r="C22" s="17" t="s">
        <v>89</v>
      </c>
      <c r="D22" s="6"/>
      <c r="E22" s="20">
        <f>SUM(E16:E20)</f>
        <v>85208</v>
      </c>
    </row>
    <row r="23" ht="14.25" customHeight="1">
      <c r="B23" s="29"/>
      <c r="C23" s="17" t="s">
        <v>90</v>
      </c>
      <c r="D23" s="20">
        <f>D13-E22</f>
        <v>224104.9</v>
      </c>
      <c r="E23" s="6"/>
    </row>
    <row r="24" ht="14.25" customHeight="1">
      <c r="B24" s="21"/>
      <c r="C24" s="17"/>
      <c r="D24" s="20"/>
      <c r="E24" s="6"/>
    </row>
    <row r="25" ht="14.25" customHeight="1">
      <c r="B25" s="21"/>
      <c r="C25" s="17" t="s">
        <v>91</v>
      </c>
      <c r="D25" s="6"/>
      <c r="E25" s="20"/>
    </row>
    <row r="26" ht="14.25" customHeight="1">
      <c r="B26" s="34">
        <v>45861.0</v>
      </c>
      <c r="C26" s="40" t="s">
        <v>173</v>
      </c>
      <c r="E26" s="8">
        <v>20000.0</v>
      </c>
    </row>
    <row r="27" ht="14.25" customHeight="1">
      <c r="B27" s="21"/>
      <c r="C27" s="40" t="s">
        <v>174</v>
      </c>
      <c r="D27" s="6"/>
      <c r="E27" s="35">
        <v>-969.0</v>
      </c>
    </row>
    <row r="28" ht="14.25" customHeight="1">
      <c r="B28" s="19"/>
      <c r="C28" s="5"/>
      <c r="D28" s="6"/>
      <c r="E28" s="6"/>
      <c r="K28" s="22"/>
    </row>
    <row r="29" ht="14.25" customHeight="1">
      <c r="B29" s="34">
        <v>45809.0</v>
      </c>
      <c r="C29" s="5" t="s">
        <v>22</v>
      </c>
      <c r="D29" s="6"/>
      <c r="E29" s="8">
        <v>1000.0</v>
      </c>
      <c r="K29" s="22"/>
    </row>
    <row r="30" ht="14.25" customHeight="1">
      <c r="B30" s="34">
        <v>45840.0</v>
      </c>
      <c r="C30" s="5" t="s">
        <v>11</v>
      </c>
      <c r="D30" s="6"/>
      <c r="E30" s="6">
        <v>1500.0</v>
      </c>
    </row>
    <row r="31" ht="14.25" customHeight="1">
      <c r="B31" s="34">
        <v>45840.0</v>
      </c>
      <c r="C31" s="9" t="s">
        <v>12</v>
      </c>
      <c r="D31" s="6"/>
      <c r="E31" s="8">
        <v>500.0</v>
      </c>
    </row>
    <row r="32" ht="14.25" customHeight="1">
      <c r="B32" s="34">
        <v>45869.0</v>
      </c>
      <c r="C32" s="9" t="s">
        <v>33</v>
      </c>
      <c r="D32" s="6"/>
      <c r="E32" s="8">
        <v>375.0</v>
      </c>
    </row>
    <row r="33" ht="14.25" customHeight="1">
      <c r="B33" s="34">
        <v>45854.0</v>
      </c>
      <c r="C33" s="9" t="s">
        <v>22</v>
      </c>
      <c r="D33" s="6"/>
      <c r="E33" s="8">
        <v>1000.0</v>
      </c>
    </row>
    <row r="34" ht="14.25" customHeight="1">
      <c r="B34" s="34"/>
      <c r="C34" s="9"/>
      <c r="D34" s="6"/>
      <c r="E34" s="8"/>
    </row>
    <row r="35" ht="14.25" customHeight="1">
      <c r="B35" s="19"/>
      <c r="C35" s="5"/>
      <c r="D35" s="6"/>
      <c r="E35" s="6"/>
    </row>
    <row r="36" ht="14.25" customHeight="1">
      <c r="B36" s="5"/>
      <c r="C36" s="17" t="s">
        <v>94</v>
      </c>
      <c r="D36" s="6"/>
      <c r="E36" s="20">
        <f>sum(E29:E34)</f>
        <v>4375</v>
      </c>
    </row>
    <row r="37" ht="14.25" customHeight="1">
      <c r="B37" s="5"/>
      <c r="C37" s="17"/>
      <c r="D37" s="6"/>
      <c r="E37" s="20"/>
    </row>
    <row r="38" ht="14.25" customHeight="1">
      <c r="B38" s="24"/>
      <c r="C38" s="17" t="s">
        <v>95</v>
      </c>
      <c r="D38" s="20">
        <f>E26+E27-E36</f>
        <v>14656</v>
      </c>
      <c r="E38" s="20"/>
    </row>
    <row r="39" ht="14.25" customHeight="1">
      <c r="B39" s="5"/>
      <c r="C39" s="5"/>
      <c r="D39" s="6"/>
      <c r="E39" s="6"/>
    </row>
    <row r="40" ht="14.25" customHeight="1">
      <c r="B40" s="41">
        <v>45869.0</v>
      </c>
      <c r="C40" s="17" t="s">
        <v>96</v>
      </c>
      <c r="D40" s="20">
        <f>D23</f>
        <v>224104.9</v>
      </c>
      <c r="E40" s="6"/>
    </row>
    <row r="41" ht="14.25" customHeight="1">
      <c r="B41" s="41">
        <v>45869.0</v>
      </c>
      <c r="C41" s="17" t="s">
        <v>97</v>
      </c>
      <c r="D41" s="20">
        <f>D40</f>
        <v>224104.9</v>
      </c>
      <c r="E41" s="6"/>
    </row>
    <row r="42" ht="14.25" customHeight="1"/>
    <row r="43">
      <c r="C43" s="42"/>
    </row>
    <row r="44" ht="14.25" customHeight="1">
      <c r="C44" s="28"/>
    </row>
    <row r="45" ht="14.25" customHeight="1"/>
    <row r="46" ht="14.25" customHeight="1"/>
    <row r="47" ht="14.25" customHeight="1">
      <c r="E47" s="26" t="s">
        <v>98</v>
      </c>
    </row>
    <row r="48" ht="14.25" customHeight="1"/>
    <row r="49" ht="14.25" customHeight="1"/>
    <row r="50" ht="14.25" customHeight="1">
      <c r="C50" s="23"/>
    </row>
    <row r="51" ht="14.25" customHeight="1">
      <c r="C51" s="23"/>
      <c r="D51" s="23"/>
    </row>
    <row r="52" ht="14.25" customHeight="1">
      <c r="C52" s="23"/>
      <c r="D52" s="23"/>
    </row>
    <row r="53" ht="14.25" customHeight="1">
      <c r="C53" s="23"/>
      <c r="D53" s="23"/>
    </row>
    <row r="54" ht="14.25" customHeight="1">
      <c r="C54" s="23"/>
      <c r="D54" s="23"/>
    </row>
    <row r="55" ht="14.25" customHeight="1">
      <c r="C55" s="23"/>
      <c r="D55" s="23"/>
    </row>
    <row r="56" ht="14.25" customHeight="1"/>
    <row r="57" ht="14.25" customHeight="1">
      <c r="C57" s="23"/>
      <c r="D57" s="23"/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mergeCells count="3">
    <mergeCell ref="B2:E2"/>
    <mergeCell ref="B3:E3"/>
    <mergeCell ref="C43:D43"/>
  </mergeCells>
  <printOptions/>
  <pageMargins bottom="0.75" footer="0.0" header="0.0" left="0.7" right="0.7" top="0.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37.29"/>
    <col customWidth="1" min="4" max="4" width="25.29"/>
    <col customWidth="1" min="5" max="5" width="17.0"/>
    <col customWidth="1" min="6" max="26" width="8.71"/>
  </cols>
  <sheetData>
    <row r="1" ht="14.25" customHeight="1"/>
    <row r="2">
      <c r="B2" s="13" t="s">
        <v>76</v>
      </c>
      <c r="C2" s="14"/>
      <c r="D2" s="14"/>
      <c r="E2" s="15"/>
    </row>
    <row r="3">
      <c r="B3" s="38" t="s">
        <v>175</v>
      </c>
      <c r="C3" s="14"/>
      <c r="D3" s="14"/>
      <c r="E3" s="15"/>
    </row>
    <row r="4" ht="14.25" customHeight="1">
      <c r="B4" s="17" t="s">
        <v>78</v>
      </c>
      <c r="C4" s="17" t="s">
        <v>79</v>
      </c>
      <c r="D4" s="18" t="s">
        <v>80</v>
      </c>
      <c r="E4" s="18" t="s">
        <v>81</v>
      </c>
    </row>
    <row r="5" ht="14.25" customHeight="1">
      <c r="B5" s="39">
        <v>45870.0</v>
      </c>
      <c r="C5" s="17" t="s">
        <v>82</v>
      </c>
      <c r="D5" s="20">
        <v>224104.90000000002</v>
      </c>
      <c r="E5" s="6"/>
    </row>
    <row r="6" ht="14.25" customHeight="1">
      <c r="B6" s="21"/>
      <c r="C6" s="5" t="s">
        <v>83</v>
      </c>
      <c r="D6" s="6">
        <v>0.0</v>
      </c>
      <c r="E6" s="6"/>
    </row>
    <row r="7" ht="14.25" customHeight="1">
      <c r="B7" s="21"/>
      <c r="C7" s="5" t="s">
        <v>84</v>
      </c>
      <c r="D7" s="6">
        <f>D5-D6</f>
        <v>224104.9</v>
      </c>
      <c r="E7" s="6"/>
    </row>
    <row r="8" ht="14.25" customHeight="1">
      <c r="B8" s="21"/>
      <c r="C8" s="5"/>
      <c r="D8" s="6"/>
      <c r="E8" s="6"/>
    </row>
    <row r="9" ht="14.25" customHeight="1">
      <c r="B9" s="21"/>
      <c r="C9" s="17" t="s">
        <v>85</v>
      </c>
      <c r="D9" s="6"/>
      <c r="E9" s="6"/>
    </row>
    <row r="10" ht="14.25" customHeight="1">
      <c r="B10" s="21"/>
      <c r="C10" s="5" t="s">
        <v>5</v>
      </c>
      <c r="D10" s="8">
        <v>60808.0</v>
      </c>
      <c r="E10" s="6"/>
    </row>
    <row r="11" ht="14.25" customHeight="1">
      <c r="B11" s="21"/>
      <c r="C11" s="9" t="s">
        <v>60</v>
      </c>
      <c r="D11" s="8"/>
      <c r="E11" s="6"/>
    </row>
    <row r="12" ht="14.25" customHeight="1">
      <c r="B12" s="21"/>
      <c r="C12" s="17" t="s">
        <v>86</v>
      </c>
      <c r="D12" s="20">
        <f>SUM(D10,D11)</f>
        <v>60808</v>
      </c>
      <c r="E12" s="6"/>
    </row>
    <row r="13" ht="14.25" customHeight="1">
      <c r="B13" s="21"/>
      <c r="C13" s="17" t="s">
        <v>87</v>
      </c>
      <c r="D13" s="20">
        <f>D5+D12</f>
        <v>284912.9</v>
      </c>
      <c r="E13" s="6"/>
    </row>
    <row r="14" ht="14.25" customHeight="1">
      <c r="B14" s="21"/>
      <c r="C14" s="5"/>
      <c r="D14" s="6"/>
      <c r="E14" s="6"/>
    </row>
    <row r="15" ht="14.25" customHeight="1">
      <c r="B15" s="34"/>
      <c r="C15" s="17" t="s">
        <v>88</v>
      </c>
      <c r="D15" s="6"/>
      <c r="E15" s="6"/>
    </row>
    <row r="16" ht="14.25" customHeight="1">
      <c r="B16" s="34"/>
      <c r="C16" s="5" t="s">
        <v>8</v>
      </c>
      <c r="D16" s="6"/>
      <c r="E16" s="8">
        <v>15000.0</v>
      </c>
    </row>
    <row r="17" ht="14.25" customHeight="1">
      <c r="B17" s="34"/>
      <c r="C17" s="5" t="s">
        <v>25</v>
      </c>
      <c r="D17" s="6"/>
      <c r="E17" s="8">
        <v>29000.0</v>
      </c>
    </row>
    <row r="18" ht="14.25" customHeight="1">
      <c r="B18" s="34"/>
      <c r="C18" s="5" t="s">
        <v>9</v>
      </c>
      <c r="D18" s="6"/>
      <c r="E18" s="8">
        <v>11181.0</v>
      </c>
    </row>
    <row r="19" ht="14.25" customHeight="1">
      <c r="B19" s="34"/>
      <c r="C19" s="9" t="s">
        <v>31</v>
      </c>
      <c r="D19" s="6"/>
      <c r="E19" s="8">
        <v>9950.0</v>
      </c>
    </row>
    <row r="20" ht="14.25" customHeight="1">
      <c r="B20" s="34"/>
      <c r="C20" s="9"/>
      <c r="D20" s="6"/>
      <c r="E20" s="8"/>
    </row>
    <row r="21" ht="14.25" customHeight="1">
      <c r="B21" s="21"/>
      <c r="C21" s="17"/>
      <c r="D21" s="6"/>
      <c r="E21" s="20"/>
    </row>
    <row r="22" ht="14.25" customHeight="1">
      <c r="B22" s="21"/>
      <c r="C22" s="17" t="s">
        <v>89</v>
      </c>
      <c r="D22" s="6"/>
      <c r="E22" s="20">
        <f>SUM(E16:E20)</f>
        <v>65131</v>
      </c>
    </row>
    <row r="23" ht="14.25" customHeight="1">
      <c r="B23" s="29"/>
      <c r="C23" s="17" t="s">
        <v>90</v>
      </c>
      <c r="D23" s="20">
        <f>D13-E22</f>
        <v>219781.9</v>
      </c>
      <c r="E23" s="6"/>
    </row>
    <row r="24" ht="14.25" customHeight="1">
      <c r="B24" s="21"/>
      <c r="C24" s="17"/>
      <c r="D24" s="20"/>
      <c r="E24" s="6"/>
    </row>
    <row r="25" ht="14.25" customHeight="1">
      <c r="B25" s="21"/>
      <c r="C25" s="17" t="s">
        <v>91</v>
      </c>
      <c r="D25" s="6"/>
      <c r="E25" s="20"/>
    </row>
    <row r="26" ht="14.25" customHeight="1">
      <c r="B26" s="21"/>
      <c r="C26" s="40" t="s">
        <v>176</v>
      </c>
      <c r="D26" s="6"/>
      <c r="E26" s="6">
        <v>0.0</v>
      </c>
    </row>
    <row r="27" ht="14.25" customHeight="1">
      <c r="B27" s="21"/>
      <c r="C27" s="40" t="s">
        <v>177</v>
      </c>
      <c r="D27" s="6"/>
      <c r="E27" s="20">
        <v>14656.0</v>
      </c>
    </row>
    <row r="28" ht="14.25" customHeight="1">
      <c r="B28" s="19"/>
      <c r="C28" s="5"/>
      <c r="D28" s="6"/>
      <c r="E28" s="6"/>
      <c r="K28" s="22"/>
    </row>
    <row r="29" ht="14.25" customHeight="1">
      <c r="B29" s="34"/>
      <c r="C29" s="5"/>
      <c r="D29" s="6"/>
      <c r="E29" s="8"/>
      <c r="K29" s="22"/>
    </row>
    <row r="30" ht="14.25" customHeight="1">
      <c r="B30" s="34">
        <v>45870.0</v>
      </c>
      <c r="C30" s="5" t="s">
        <v>11</v>
      </c>
      <c r="D30" s="6"/>
      <c r="E30" s="6">
        <v>1500.0</v>
      </c>
    </row>
    <row r="31" ht="14.25" customHeight="1">
      <c r="B31" s="34">
        <v>45870.0</v>
      </c>
      <c r="C31" s="9" t="s">
        <v>12</v>
      </c>
      <c r="D31" s="6"/>
      <c r="E31" s="8">
        <v>500.0</v>
      </c>
    </row>
    <row r="32" ht="14.25" customHeight="1">
      <c r="B32" s="34">
        <v>45880.0</v>
      </c>
      <c r="C32" s="9" t="s">
        <v>178</v>
      </c>
      <c r="D32" s="6"/>
      <c r="E32" s="8">
        <v>1400.0</v>
      </c>
    </row>
    <row r="33" ht="14.25" customHeight="1">
      <c r="B33" s="34">
        <v>45889.0</v>
      </c>
      <c r="C33" s="9" t="s">
        <v>179</v>
      </c>
      <c r="D33" s="6"/>
      <c r="E33" s="8">
        <v>439.0</v>
      </c>
    </row>
    <row r="34" ht="14.25" customHeight="1">
      <c r="B34" s="34"/>
      <c r="C34" s="9"/>
      <c r="D34" s="6"/>
      <c r="E34" s="8"/>
    </row>
    <row r="35" ht="14.25" customHeight="1">
      <c r="B35" s="19"/>
      <c r="C35" s="5"/>
      <c r="D35" s="6"/>
      <c r="E35" s="6"/>
    </row>
    <row r="36" ht="14.25" customHeight="1">
      <c r="B36" s="5"/>
      <c r="C36" s="17" t="s">
        <v>94</v>
      </c>
      <c r="D36" s="6"/>
      <c r="E36" s="20">
        <f>sum(E29:E34)</f>
        <v>3839</v>
      </c>
    </row>
    <row r="37" ht="14.25" customHeight="1">
      <c r="B37" s="5"/>
      <c r="C37" s="17"/>
      <c r="D37" s="6"/>
      <c r="E37" s="20"/>
    </row>
    <row r="38" ht="14.25" customHeight="1">
      <c r="B38" s="24"/>
      <c r="C38" s="17" t="s">
        <v>95</v>
      </c>
      <c r="D38" s="20">
        <f>E26+E27-E36</f>
        <v>10817</v>
      </c>
      <c r="E38" s="20"/>
    </row>
    <row r="39" ht="14.25" customHeight="1">
      <c r="B39" s="5"/>
      <c r="C39" s="5"/>
      <c r="D39" s="6"/>
      <c r="E39" s="6"/>
    </row>
    <row r="40" ht="14.25" customHeight="1">
      <c r="B40" s="41">
        <v>45900.0</v>
      </c>
      <c r="C40" s="17" t="s">
        <v>96</v>
      </c>
      <c r="D40" s="20">
        <f>D23</f>
        <v>219781.9</v>
      </c>
      <c r="E40" s="6"/>
    </row>
    <row r="41" ht="14.25" customHeight="1">
      <c r="B41" s="41">
        <v>45900.0</v>
      </c>
      <c r="C41" s="17" t="s">
        <v>97</v>
      </c>
      <c r="D41" s="20">
        <f>D40</f>
        <v>219781.9</v>
      </c>
      <c r="E41" s="6"/>
    </row>
    <row r="42" ht="14.25" customHeight="1"/>
    <row r="43">
      <c r="C43" s="42"/>
    </row>
    <row r="44" ht="14.25" customHeight="1">
      <c r="C44" s="28"/>
    </row>
    <row r="45" ht="14.25" customHeight="1"/>
    <row r="46" ht="14.25" customHeight="1"/>
    <row r="47" ht="14.25" customHeight="1">
      <c r="E47" s="26" t="s">
        <v>98</v>
      </c>
    </row>
    <row r="48" ht="14.25" customHeight="1"/>
    <row r="49" ht="14.25" customHeight="1"/>
    <row r="50" ht="14.25" customHeight="1">
      <c r="C50" s="23"/>
    </row>
    <row r="51" ht="14.25" customHeight="1">
      <c r="C51" s="23"/>
      <c r="D51" s="23"/>
    </row>
    <row r="52" ht="14.25" customHeight="1">
      <c r="C52" s="23"/>
      <c r="D52" s="23"/>
    </row>
    <row r="53" ht="14.25" customHeight="1">
      <c r="C53" s="23"/>
      <c r="D53" s="23"/>
    </row>
    <row r="54" ht="14.25" customHeight="1">
      <c r="C54" s="23"/>
      <c r="D54" s="23"/>
    </row>
    <row r="55" ht="14.25" customHeight="1">
      <c r="C55" s="23"/>
      <c r="D55" s="23"/>
    </row>
    <row r="56" ht="14.25" customHeight="1"/>
    <row r="57" ht="14.25" customHeight="1">
      <c r="C57" s="23"/>
      <c r="D57" s="23"/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mergeCells count="3">
    <mergeCell ref="B2:E2"/>
    <mergeCell ref="B3:E3"/>
    <mergeCell ref="C43:D43"/>
  </mergeCells>
  <printOptions/>
  <pageMargins bottom="0.75" footer="0.0" header="0.0" left="0.7" right="0.7" top="0.7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37.29"/>
    <col customWidth="1" min="4" max="4" width="25.29"/>
    <col customWidth="1" min="5" max="5" width="17.0"/>
    <col customWidth="1" min="6" max="26" width="8.71"/>
  </cols>
  <sheetData>
    <row r="1" ht="14.25" customHeight="1"/>
    <row r="2">
      <c r="B2" s="13" t="s">
        <v>76</v>
      </c>
      <c r="C2" s="14"/>
      <c r="D2" s="14"/>
      <c r="E2" s="15"/>
    </row>
    <row r="3">
      <c r="B3" s="38" t="s">
        <v>180</v>
      </c>
      <c r="C3" s="14"/>
      <c r="D3" s="14"/>
      <c r="E3" s="15"/>
    </row>
    <row r="4" ht="14.25" customHeight="1">
      <c r="B4" s="17" t="s">
        <v>78</v>
      </c>
      <c r="C4" s="17" t="s">
        <v>79</v>
      </c>
      <c r="D4" s="18" t="s">
        <v>80</v>
      </c>
      <c r="E4" s="18" t="s">
        <v>81</v>
      </c>
    </row>
    <row r="5" ht="14.25" customHeight="1">
      <c r="B5" s="39">
        <v>45901.0</v>
      </c>
      <c r="C5" s="17" t="s">
        <v>82</v>
      </c>
      <c r="D5" s="35">
        <v>219781.9</v>
      </c>
      <c r="E5" s="6"/>
    </row>
    <row r="6" ht="14.25" customHeight="1">
      <c r="B6" s="21"/>
      <c r="C6" s="5" t="s">
        <v>83</v>
      </c>
      <c r="D6" s="6">
        <v>0.0</v>
      </c>
      <c r="E6" s="6"/>
    </row>
    <row r="7" ht="14.25" customHeight="1">
      <c r="B7" s="21"/>
      <c r="C7" s="5" t="s">
        <v>84</v>
      </c>
      <c r="D7" s="6">
        <f>D5-D6</f>
        <v>219781.9</v>
      </c>
      <c r="E7" s="6"/>
    </row>
    <row r="8" ht="14.25" customHeight="1">
      <c r="B8" s="21"/>
      <c r="C8" s="5"/>
      <c r="D8" s="6"/>
      <c r="E8" s="6"/>
    </row>
    <row r="9" ht="14.25" customHeight="1">
      <c r="B9" s="21"/>
      <c r="C9" s="17" t="s">
        <v>85</v>
      </c>
      <c r="D9" s="6"/>
      <c r="E9" s="6"/>
      <c r="I9" s="44"/>
    </row>
    <row r="10" ht="14.25" customHeight="1">
      <c r="B10" s="21"/>
      <c r="C10" s="5" t="s">
        <v>5</v>
      </c>
      <c r="D10" s="45">
        <v>70200.0</v>
      </c>
      <c r="E10" s="6"/>
      <c r="I10" s="44"/>
    </row>
    <row r="11" ht="14.25" customHeight="1">
      <c r="B11" s="21"/>
      <c r="C11" s="9" t="s">
        <v>60</v>
      </c>
      <c r="D11" s="44">
        <v>1473.0</v>
      </c>
      <c r="E11" s="6"/>
      <c r="I11" s="44"/>
    </row>
    <row r="12" ht="14.25" customHeight="1">
      <c r="B12" s="21"/>
      <c r="C12" s="17" t="s">
        <v>86</v>
      </c>
      <c r="D12" s="20">
        <f>SUM(D10,D11)</f>
        <v>71673</v>
      </c>
      <c r="E12" s="6"/>
      <c r="I12" s="46"/>
    </row>
    <row r="13" ht="14.25" customHeight="1">
      <c r="B13" s="21"/>
      <c r="C13" s="17" t="s">
        <v>87</v>
      </c>
      <c r="D13" s="20">
        <f>D5+D12</f>
        <v>291454.9</v>
      </c>
      <c r="E13" s="6"/>
    </row>
    <row r="14" ht="14.25" customHeight="1">
      <c r="B14" s="21"/>
      <c r="C14" s="5"/>
      <c r="D14" s="6"/>
      <c r="E14" s="6"/>
    </row>
    <row r="15" ht="14.25" customHeight="1">
      <c r="B15" s="34"/>
      <c r="C15" s="17" t="s">
        <v>88</v>
      </c>
      <c r="D15" s="6"/>
      <c r="E15" s="6"/>
    </row>
    <row r="16" ht="14.25" customHeight="1">
      <c r="B16" s="4" t="s">
        <v>181</v>
      </c>
      <c r="C16" s="5" t="s">
        <v>8</v>
      </c>
      <c r="D16" s="6"/>
      <c r="E16" s="8">
        <v>15000.0</v>
      </c>
    </row>
    <row r="17" ht="14.25" customHeight="1">
      <c r="B17" s="4" t="s">
        <v>182</v>
      </c>
      <c r="C17" s="5" t="s">
        <v>25</v>
      </c>
      <c r="D17" s="6"/>
      <c r="E17" s="8">
        <v>29000.0</v>
      </c>
    </row>
    <row r="18" ht="14.25" customHeight="1">
      <c r="B18" s="4" t="s">
        <v>183</v>
      </c>
      <c r="C18" s="5" t="s">
        <v>9</v>
      </c>
      <c r="D18" s="6"/>
      <c r="E18" s="8">
        <v>10928.0</v>
      </c>
    </row>
    <row r="19" ht="14.25" customHeight="1">
      <c r="B19" s="4" t="s">
        <v>184</v>
      </c>
      <c r="C19" s="9" t="s">
        <v>31</v>
      </c>
      <c r="D19" s="6"/>
      <c r="E19" s="8">
        <v>11300.0</v>
      </c>
    </row>
    <row r="20" ht="14.25" customHeight="1">
      <c r="B20" s="4"/>
      <c r="C20" s="9"/>
      <c r="D20" s="6"/>
      <c r="E20" s="8"/>
    </row>
    <row r="21" ht="14.25" customHeight="1">
      <c r="B21" s="21"/>
      <c r="C21" s="17"/>
      <c r="D21" s="6"/>
      <c r="E21" s="20"/>
    </row>
    <row r="22" ht="14.25" customHeight="1">
      <c r="B22" s="21"/>
      <c r="C22" s="17" t="s">
        <v>89</v>
      </c>
      <c r="D22" s="6"/>
      <c r="E22" s="20">
        <f>SUM(E16:E20)</f>
        <v>66228</v>
      </c>
    </row>
    <row r="23" ht="14.25" customHeight="1">
      <c r="B23" s="29"/>
      <c r="C23" s="17" t="s">
        <v>90</v>
      </c>
      <c r="D23" s="20">
        <f>D13-E22</f>
        <v>225226.9</v>
      </c>
      <c r="E23" s="6"/>
    </row>
    <row r="24" ht="14.25" customHeight="1">
      <c r="B24" s="21"/>
      <c r="C24" s="17"/>
      <c r="D24" s="20"/>
      <c r="E24" s="6"/>
    </row>
    <row r="25" ht="14.25" customHeight="1">
      <c r="B25" s="21"/>
      <c r="C25" s="17" t="s">
        <v>91</v>
      </c>
      <c r="D25" s="6"/>
      <c r="E25" s="20"/>
    </row>
    <row r="26" ht="14.25" customHeight="1">
      <c r="B26" s="21"/>
      <c r="C26" s="40" t="s">
        <v>185</v>
      </c>
      <c r="D26" s="6"/>
      <c r="E26" s="6">
        <v>0.0</v>
      </c>
    </row>
    <row r="27" ht="14.25" customHeight="1">
      <c r="B27" s="21"/>
      <c r="C27" s="40" t="s">
        <v>186</v>
      </c>
      <c r="D27" s="6"/>
      <c r="E27" s="20">
        <v>14656.0</v>
      </c>
    </row>
    <row r="28" ht="14.25" customHeight="1">
      <c r="B28" s="19"/>
      <c r="C28" s="5"/>
      <c r="D28" s="6"/>
      <c r="E28" s="6"/>
      <c r="K28" s="22"/>
    </row>
    <row r="29" ht="14.25" customHeight="1">
      <c r="B29" s="4" t="s">
        <v>187</v>
      </c>
      <c r="C29" s="5" t="s">
        <v>22</v>
      </c>
      <c r="D29" s="6"/>
      <c r="E29" s="8">
        <v>1000.0</v>
      </c>
      <c r="K29" s="22"/>
    </row>
    <row r="30" ht="14.25" customHeight="1">
      <c r="B30" s="4" t="s">
        <v>188</v>
      </c>
      <c r="C30" s="5" t="s">
        <v>11</v>
      </c>
      <c r="D30" s="6"/>
      <c r="E30" s="6">
        <v>1500.0</v>
      </c>
    </row>
    <row r="31" ht="14.25" customHeight="1">
      <c r="B31" s="4" t="s">
        <v>188</v>
      </c>
      <c r="C31" s="9" t="s">
        <v>12</v>
      </c>
      <c r="D31" s="6"/>
      <c r="E31" s="8">
        <v>500.0</v>
      </c>
    </row>
    <row r="32" ht="14.25" customHeight="1">
      <c r="B32" s="34"/>
      <c r="C32" s="9"/>
      <c r="D32" s="6"/>
      <c r="E32" s="8"/>
    </row>
    <row r="33" ht="14.25" customHeight="1">
      <c r="B33" s="34"/>
      <c r="C33" s="9"/>
      <c r="D33" s="6"/>
      <c r="E33" s="8"/>
    </row>
    <row r="34" ht="14.25" customHeight="1">
      <c r="B34" s="34"/>
      <c r="C34" s="9"/>
      <c r="D34" s="6"/>
      <c r="E34" s="8"/>
    </row>
    <row r="35" ht="14.25" customHeight="1">
      <c r="B35" s="19"/>
      <c r="C35" s="5"/>
      <c r="D35" s="6"/>
      <c r="E35" s="6"/>
    </row>
    <row r="36" ht="14.25" customHeight="1">
      <c r="B36" s="5"/>
      <c r="C36" s="17" t="s">
        <v>94</v>
      </c>
      <c r="D36" s="6"/>
      <c r="E36" s="20">
        <f>sum(E29:E34)</f>
        <v>3000</v>
      </c>
    </row>
    <row r="37" ht="14.25" customHeight="1">
      <c r="B37" s="5"/>
      <c r="C37" s="17"/>
      <c r="D37" s="6"/>
      <c r="E37" s="20"/>
    </row>
    <row r="38" ht="14.25" customHeight="1">
      <c r="B38" s="24"/>
      <c r="C38" s="17" t="s">
        <v>95</v>
      </c>
      <c r="D38" s="20">
        <f>E26+E27-E36</f>
        <v>11656</v>
      </c>
      <c r="E38" s="20"/>
    </row>
    <row r="39" ht="14.25" customHeight="1">
      <c r="B39" s="5"/>
      <c r="C39" s="5"/>
      <c r="D39" s="6"/>
      <c r="E39" s="6"/>
    </row>
    <row r="40" ht="14.25" customHeight="1">
      <c r="B40" s="9" t="s">
        <v>189</v>
      </c>
      <c r="C40" s="17" t="s">
        <v>96</v>
      </c>
      <c r="D40" s="20">
        <f>D23</f>
        <v>225226.9</v>
      </c>
      <c r="E40" s="6"/>
    </row>
    <row r="41" ht="14.25" customHeight="1">
      <c r="B41" s="9" t="s">
        <v>189</v>
      </c>
      <c r="C41" s="17" t="s">
        <v>97</v>
      </c>
      <c r="D41" s="20">
        <f>D40</f>
        <v>225226.9</v>
      </c>
      <c r="E41" s="6"/>
    </row>
    <row r="42" ht="14.25" customHeight="1"/>
    <row r="43">
      <c r="C43" s="42"/>
    </row>
    <row r="44" ht="14.25" customHeight="1">
      <c r="C44" s="28"/>
    </row>
    <row r="45" ht="14.25" customHeight="1"/>
    <row r="46" ht="14.25" customHeight="1"/>
    <row r="47" ht="14.25" customHeight="1">
      <c r="E47" s="26" t="s">
        <v>98</v>
      </c>
    </row>
    <row r="48" ht="14.25" customHeight="1"/>
    <row r="49" ht="14.25" customHeight="1"/>
    <row r="50" ht="14.25" customHeight="1">
      <c r="C50" s="23"/>
    </row>
    <row r="51" ht="14.25" customHeight="1">
      <c r="C51" s="23"/>
      <c r="D51" s="23"/>
    </row>
    <row r="52" ht="14.25" customHeight="1">
      <c r="C52" s="23"/>
      <c r="D52" s="23"/>
    </row>
    <row r="53" ht="14.25" customHeight="1">
      <c r="C53" s="23"/>
      <c r="D53" s="23"/>
    </row>
    <row r="54" ht="14.25" customHeight="1">
      <c r="C54" s="23"/>
      <c r="D54" s="23"/>
    </row>
    <row r="55" ht="14.25" customHeight="1">
      <c r="C55" s="23"/>
      <c r="D55" s="23"/>
    </row>
    <row r="56" ht="14.25" customHeight="1"/>
    <row r="57" ht="14.25" customHeight="1">
      <c r="C57" s="23"/>
      <c r="D57" s="23"/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mergeCells count="3">
    <mergeCell ref="B2:E2"/>
    <mergeCell ref="B3:E3"/>
    <mergeCell ref="C43:D43"/>
  </mergeCells>
  <printOptions/>
  <pageMargins bottom="0.75" footer="0.0" header="0.0" left="0.7" right="0.7" top="0.7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0"/>
    <col customWidth="1" min="3" max="3" width="37.29"/>
    <col customWidth="1" min="4" max="4" width="25.29"/>
    <col customWidth="1" min="5" max="5" width="17.0"/>
    <col customWidth="1" min="6" max="26" width="8.71"/>
  </cols>
  <sheetData>
    <row r="1" ht="14.25" customHeight="1"/>
    <row r="2">
      <c r="B2" s="13" t="s">
        <v>76</v>
      </c>
      <c r="C2" s="14"/>
      <c r="D2" s="14"/>
      <c r="E2" s="15"/>
    </row>
    <row r="3">
      <c r="B3" s="38" t="s">
        <v>190</v>
      </c>
      <c r="C3" s="14"/>
      <c r="D3" s="14"/>
      <c r="E3" s="15"/>
    </row>
    <row r="4" ht="14.25" customHeight="1">
      <c r="B4" s="17" t="s">
        <v>78</v>
      </c>
      <c r="C4" s="17" t="s">
        <v>79</v>
      </c>
      <c r="D4" s="18" t="s">
        <v>80</v>
      </c>
      <c r="E4" s="18" t="s">
        <v>81</v>
      </c>
    </row>
    <row r="5" ht="14.25" customHeight="1">
      <c r="B5" s="39">
        <v>45931.0</v>
      </c>
      <c r="C5" s="17" t="s">
        <v>82</v>
      </c>
      <c r="D5" s="35">
        <v>225226.9</v>
      </c>
      <c r="E5" s="6"/>
    </row>
    <row r="6" ht="14.25" customHeight="1">
      <c r="B6" s="21"/>
      <c r="C6" s="5" t="s">
        <v>83</v>
      </c>
      <c r="D6" s="6">
        <v>0.0</v>
      </c>
      <c r="E6" s="6"/>
    </row>
    <row r="7" ht="14.25" customHeight="1">
      <c r="B7" s="21"/>
      <c r="C7" s="5" t="s">
        <v>84</v>
      </c>
      <c r="D7" s="6">
        <f>D5-D6</f>
        <v>225226.9</v>
      </c>
      <c r="E7" s="6"/>
    </row>
    <row r="8" ht="14.25" customHeight="1">
      <c r="B8" s="21"/>
      <c r="C8" s="5"/>
      <c r="D8" s="6"/>
      <c r="E8" s="6"/>
    </row>
    <row r="9" ht="14.25" customHeight="1">
      <c r="B9" s="21"/>
      <c r="C9" s="17" t="s">
        <v>85</v>
      </c>
      <c r="D9" s="6"/>
      <c r="E9" s="6"/>
    </row>
    <row r="10" ht="14.25" customHeight="1">
      <c r="B10" s="21"/>
      <c r="C10" s="5" t="s">
        <v>5</v>
      </c>
      <c r="D10" s="8">
        <v>83200.0</v>
      </c>
      <c r="E10" s="6"/>
    </row>
    <row r="11" ht="14.25" customHeight="1">
      <c r="B11" s="21"/>
      <c r="C11" s="9" t="s">
        <v>60</v>
      </c>
      <c r="D11" s="8"/>
      <c r="E11" s="6"/>
    </row>
    <row r="12" ht="14.25" customHeight="1">
      <c r="B12" s="21"/>
      <c r="C12" s="17" t="s">
        <v>86</v>
      </c>
      <c r="D12" s="20">
        <f>SUM(D10,D11)</f>
        <v>83200</v>
      </c>
      <c r="E12" s="6"/>
    </row>
    <row r="13" ht="14.25" customHeight="1">
      <c r="B13" s="21"/>
      <c r="C13" s="17" t="s">
        <v>87</v>
      </c>
      <c r="D13" s="20">
        <f>D5+D12</f>
        <v>308426.9</v>
      </c>
      <c r="E13" s="6"/>
    </row>
    <row r="14" ht="14.25" customHeight="1">
      <c r="B14" s="21"/>
      <c r="C14" s="5"/>
      <c r="D14" s="6"/>
      <c r="E14" s="6"/>
    </row>
    <row r="15" ht="14.25" customHeight="1">
      <c r="B15" s="34"/>
      <c r="C15" s="17" t="s">
        <v>88</v>
      </c>
      <c r="D15" s="6"/>
      <c r="E15" s="6"/>
    </row>
    <row r="16" ht="14.25" customHeight="1">
      <c r="B16" s="34">
        <v>45940.0</v>
      </c>
      <c r="C16" s="5" t="s">
        <v>8</v>
      </c>
      <c r="D16" s="6"/>
      <c r="E16" s="8">
        <v>15000.0</v>
      </c>
    </row>
    <row r="17" ht="14.25" customHeight="1">
      <c r="B17" s="34">
        <v>45939.0</v>
      </c>
      <c r="C17" s="5" t="s">
        <v>25</v>
      </c>
      <c r="D17" s="6"/>
      <c r="E17" s="8">
        <v>29000.0</v>
      </c>
    </row>
    <row r="18" ht="14.25" customHeight="1">
      <c r="B18" s="34"/>
      <c r="C18" s="5" t="s">
        <v>9</v>
      </c>
      <c r="D18" s="6"/>
      <c r="E18" s="8">
        <v>10717.0</v>
      </c>
    </row>
    <row r="19" ht="14.25" customHeight="1">
      <c r="B19" s="34"/>
      <c r="C19" s="9" t="s">
        <v>191</v>
      </c>
      <c r="D19" s="6"/>
      <c r="E19" s="8">
        <v>0.0</v>
      </c>
    </row>
    <row r="20" ht="14.25" customHeight="1">
      <c r="B20" s="43">
        <v>45932.0</v>
      </c>
      <c r="C20" s="9" t="s">
        <v>192</v>
      </c>
      <c r="D20" s="6"/>
      <c r="E20" s="8">
        <v>20000.0</v>
      </c>
    </row>
    <row r="21" ht="14.25" customHeight="1">
      <c r="B21" s="21"/>
      <c r="C21" s="17" t="s">
        <v>89</v>
      </c>
      <c r="D21" s="6"/>
      <c r="E21" s="20">
        <f>SUM(E16:E20)</f>
        <v>74717</v>
      </c>
    </row>
    <row r="22" ht="14.25" customHeight="1">
      <c r="B22" s="29"/>
      <c r="C22" s="17" t="s">
        <v>90</v>
      </c>
      <c r="D22" s="20">
        <f>D13-E21</f>
        <v>233709.9</v>
      </c>
      <c r="E22" s="6"/>
    </row>
    <row r="23" ht="14.25" customHeight="1">
      <c r="B23" s="21"/>
      <c r="C23" s="17"/>
      <c r="D23" s="20"/>
      <c r="E23" s="6"/>
    </row>
    <row r="24" ht="14.25" customHeight="1">
      <c r="B24" s="21"/>
      <c r="C24" s="17" t="s">
        <v>91</v>
      </c>
      <c r="D24" s="6"/>
      <c r="E24" s="20"/>
    </row>
    <row r="25" ht="14.25" customHeight="1">
      <c r="B25" s="21"/>
      <c r="C25" s="40" t="s">
        <v>193</v>
      </c>
      <c r="D25" s="6"/>
      <c r="E25" s="8">
        <v>20000.0</v>
      </c>
    </row>
    <row r="26" ht="14.25" customHeight="1">
      <c r="B26" s="21"/>
      <c r="C26" s="40" t="s">
        <v>194</v>
      </c>
      <c r="D26" s="6"/>
      <c r="E26" s="35">
        <v>11565.0</v>
      </c>
    </row>
    <row r="27" ht="14.25" customHeight="1">
      <c r="B27" s="19"/>
      <c r="C27" s="5"/>
      <c r="D27" s="6"/>
      <c r="E27" s="6"/>
      <c r="K27" s="22"/>
    </row>
    <row r="28" ht="14.25" customHeight="1">
      <c r="B28" s="34">
        <v>45931.0</v>
      </c>
      <c r="C28" s="5" t="s">
        <v>11</v>
      </c>
      <c r="D28" s="6"/>
      <c r="E28" s="6">
        <v>1500.0</v>
      </c>
      <c r="K28" s="22"/>
    </row>
    <row r="29" ht="14.25" customHeight="1">
      <c r="B29" s="34">
        <v>45931.0</v>
      </c>
      <c r="C29" s="9" t="s">
        <v>12</v>
      </c>
      <c r="D29" s="6"/>
      <c r="E29" s="8">
        <v>500.0</v>
      </c>
    </row>
    <row r="30" ht="14.25" customHeight="1">
      <c r="B30" s="34">
        <v>45956.0</v>
      </c>
      <c r="C30" s="9" t="s">
        <v>195</v>
      </c>
      <c r="D30" s="6"/>
      <c r="E30" s="8">
        <v>3000.0</v>
      </c>
    </row>
    <row r="31" ht="14.25" customHeight="1">
      <c r="B31" s="34">
        <v>45956.0</v>
      </c>
      <c r="C31" s="9" t="s">
        <v>196</v>
      </c>
      <c r="D31" s="6"/>
      <c r="E31" s="8">
        <v>4500.0</v>
      </c>
    </row>
    <row r="32" ht="14.25" customHeight="1">
      <c r="B32" s="34">
        <v>45934.0</v>
      </c>
      <c r="C32" s="9" t="s">
        <v>197</v>
      </c>
      <c r="D32" s="6"/>
      <c r="E32" s="8">
        <v>6800.0</v>
      </c>
    </row>
    <row r="33" ht="14.25" customHeight="1">
      <c r="B33" s="47">
        <v>45931.0</v>
      </c>
      <c r="C33" s="9" t="s">
        <v>198</v>
      </c>
      <c r="D33" s="6"/>
      <c r="E33" s="8">
        <v>14000.0</v>
      </c>
    </row>
    <row r="34" ht="14.25" customHeight="1">
      <c r="B34" s="47">
        <v>45956.0</v>
      </c>
      <c r="C34" s="9" t="s">
        <v>22</v>
      </c>
      <c r="D34" s="6"/>
      <c r="E34" s="8">
        <v>1000.0</v>
      </c>
    </row>
    <row r="35" ht="14.25" customHeight="1">
      <c r="B35" s="47">
        <v>45957.0</v>
      </c>
      <c r="C35" s="9" t="s">
        <v>199</v>
      </c>
      <c r="D35" s="6"/>
      <c r="E35" s="8">
        <v>3478.0</v>
      </c>
    </row>
    <row r="36" ht="14.25" customHeight="1">
      <c r="B36" s="5"/>
      <c r="C36" s="17" t="s">
        <v>94</v>
      </c>
      <c r="D36" s="6"/>
      <c r="E36" s="20">
        <f>sum(E28:E35)</f>
        <v>34778</v>
      </c>
    </row>
    <row r="37" ht="14.25" customHeight="1">
      <c r="B37" s="5"/>
      <c r="C37" s="17"/>
      <c r="D37" s="6"/>
      <c r="E37" s="20"/>
    </row>
    <row r="38" ht="14.25" customHeight="1">
      <c r="B38" s="24"/>
      <c r="C38" s="17" t="s">
        <v>95</v>
      </c>
      <c r="D38" s="20">
        <f>E25+E26-E36</f>
        <v>-3213</v>
      </c>
      <c r="E38" s="20"/>
    </row>
    <row r="39" ht="14.25" customHeight="1">
      <c r="B39" s="5"/>
      <c r="C39" s="5"/>
      <c r="D39" s="6"/>
      <c r="E39" s="6"/>
    </row>
    <row r="40" ht="14.25" customHeight="1">
      <c r="B40" s="41">
        <v>45961.0</v>
      </c>
      <c r="C40" s="17" t="s">
        <v>96</v>
      </c>
      <c r="D40" s="20">
        <f>D22</f>
        <v>233709.9</v>
      </c>
      <c r="E40" s="6"/>
    </row>
    <row r="41" ht="14.25" customHeight="1">
      <c r="B41" s="41">
        <v>45961.0</v>
      </c>
      <c r="C41" s="17" t="s">
        <v>97</v>
      </c>
      <c r="D41" s="20">
        <f>D40</f>
        <v>233709.9</v>
      </c>
      <c r="E41" s="6"/>
    </row>
    <row r="42" ht="14.25" customHeight="1"/>
    <row r="43" ht="14.25" customHeight="1"/>
    <row r="44">
      <c r="C44" s="42"/>
    </row>
    <row r="45" ht="14.25" customHeight="1">
      <c r="C45" s="28"/>
    </row>
    <row r="46" ht="14.25" customHeight="1"/>
    <row r="47" ht="14.25" customHeight="1"/>
    <row r="48" ht="14.25" customHeight="1">
      <c r="E48" s="26" t="s">
        <v>98</v>
      </c>
    </row>
    <row r="49" ht="14.25" customHeight="1"/>
    <row r="50" ht="14.25" customHeight="1"/>
    <row r="51" ht="14.25" customHeight="1">
      <c r="C51" s="23"/>
    </row>
    <row r="52" ht="14.25" customHeight="1">
      <c r="C52" s="23"/>
      <c r="D52" s="23"/>
    </row>
    <row r="53" ht="14.25" customHeight="1">
      <c r="C53" s="48" t="s">
        <v>200</v>
      </c>
      <c r="D53" s="23"/>
    </row>
    <row r="54" ht="14.25" customHeight="1">
      <c r="D54" s="23"/>
    </row>
    <row r="55" ht="14.25" customHeight="1">
      <c r="B55" s="41">
        <v>45931.0</v>
      </c>
      <c r="C55" s="49" t="s">
        <v>201</v>
      </c>
      <c r="D55" s="49">
        <v>4900.0</v>
      </c>
    </row>
    <row r="56" ht="14.25" customHeight="1">
      <c r="B56" s="41">
        <v>45931.0</v>
      </c>
      <c r="C56" s="49" t="s">
        <v>66</v>
      </c>
      <c r="D56" s="49">
        <v>4500.0</v>
      </c>
    </row>
    <row r="57" ht="14.25" customHeight="1">
      <c r="B57" s="41">
        <v>45931.0</v>
      </c>
      <c r="C57" s="37" t="s">
        <v>202</v>
      </c>
      <c r="D57" s="37">
        <v>500.0</v>
      </c>
    </row>
    <row r="58" ht="14.25" customHeight="1">
      <c r="B58" s="41">
        <v>45931.0</v>
      </c>
      <c r="C58" s="49" t="s">
        <v>203</v>
      </c>
      <c r="D58" s="49">
        <v>500.0</v>
      </c>
    </row>
    <row r="59" ht="14.25" customHeight="1">
      <c r="B59" s="41">
        <v>45931.0</v>
      </c>
      <c r="C59" s="37" t="s">
        <v>204</v>
      </c>
      <c r="D59" s="37">
        <v>100.0</v>
      </c>
    </row>
    <row r="60" ht="14.25" customHeight="1">
      <c r="B60" s="41">
        <v>45931.0</v>
      </c>
      <c r="C60" s="37" t="s">
        <v>205</v>
      </c>
      <c r="D60" s="37">
        <v>3500.0</v>
      </c>
    </row>
    <row r="61" ht="14.25" customHeight="1"/>
    <row r="62" ht="14.25" customHeight="1">
      <c r="F62" s="50"/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mergeCells count="3">
    <mergeCell ref="B2:E2"/>
    <mergeCell ref="B3:E3"/>
    <mergeCell ref="C44:D44"/>
  </mergeCells>
  <printOptions/>
  <pageMargins bottom="0.75" footer="0.0" header="0.0" left="0.7" right="0.7" top="0.7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0"/>
    <col customWidth="1" min="3" max="3" width="37.29"/>
    <col customWidth="1" min="4" max="4" width="25.29"/>
    <col customWidth="1" min="5" max="5" width="17.0"/>
    <col customWidth="1" min="6" max="26" width="8.71"/>
  </cols>
  <sheetData>
    <row r="1" ht="14.25" customHeight="1"/>
    <row r="2">
      <c r="B2" s="13" t="s">
        <v>76</v>
      </c>
      <c r="C2" s="14"/>
      <c r="D2" s="14"/>
      <c r="E2" s="15"/>
    </row>
    <row r="3">
      <c r="B3" s="38" t="s">
        <v>206</v>
      </c>
      <c r="C3" s="14"/>
      <c r="D3" s="14"/>
      <c r="E3" s="15"/>
    </row>
    <row r="4" ht="14.25" customHeight="1">
      <c r="B4" s="17" t="s">
        <v>78</v>
      </c>
      <c r="C4" s="17" t="s">
        <v>79</v>
      </c>
      <c r="D4" s="18" t="s">
        <v>80</v>
      </c>
      <c r="E4" s="18" t="s">
        <v>81</v>
      </c>
    </row>
    <row r="5" ht="14.25" customHeight="1">
      <c r="B5" s="39">
        <v>45962.0</v>
      </c>
      <c r="C5" s="17" t="s">
        <v>82</v>
      </c>
      <c r="D5" s="20">
        <v>233709.90000000002</v>
      </c>
      <c r="E5" s="6"/>
    </row>
    <row r="6" ht="14.25" customHeight="1">
      <c r="B6" s="21"/>
      <c r="C6" s="5" t="s">
        <v>83</v>
      </c>
      <c r="D6" s="6">
        <v>0.0</v>
      </c>
      <c r="E6" s="6"/>
    </row>
    <row r="7" ht="14.25" customHeight="1">
      <c r="B7" s="21"/>
      <c r="C7" s="5" t="s">
        <v>84</v>
      </c>
      <c r="D7" s="6">
        <f>D5-D6</f>
        <v>233709.9</v>
      </c>
      <c r="E7" s="6"/>
    </row>
    <row r="8" ht="14.25" customHeight="1">
      <c r="B8" s="21"/>
      <c r="C8" s="5"/>
      <c r="D8" s="6"/>
      <c r="E8" s="6"/>
    </row>
    <row r="9" ht="14.25" customHeight="1">
      <c r="B9" s="21"/>
      <c r="C9" s="17" t="s">
        <v>85</v>
      </c>
      <c r="D9" s="6"/>
      <c r="E9" s="6"/>
    </row>
    <row r="10" ht="14.25" customHeight="1">
      <c r="B10" s="21"/>
      <c r="C10" s="5" t="s">
        <v>5</v>
      </c>
      <c r="D10" s="8">
        <v>54600.0</v>
      </c>
      <c r="E10" s="6"/>
    </row>
    <row r="11" ht="14.25" customHeight="1">
      <c r="B11" s="21"/>
      <c r="C11" s="9" t="s">
        <v>207</v>
      </c>
      <c r="D11" s="8">
        <v>-59.0</v>
      </c>
      <c r="E11" s="6"/>
    </row>
    <row r="12" ht="14.25" customHeight="1">
      <c r="B12" s="21"/>
      <c r="C12" s="17" t="s">
        <v>86</v>
      </c>
      <c r="D12" s="20">
        <f>SUM(D10,D11)</f>
        <v>54541</v>
      </c>
      <c r="E12" s="6"/>
    </row>
    <row r="13" ht="14.25" customHeight="1">
      <c r="B13" s="21"/>
      <c r="C13" s="17" t="s">
        <v>87</v>
      </c>
      <c r="D13" s="20">
        <f>D5+D12</f>
        <v>288250.9</v>
      </c>
      <c r="E13" s="6"/>
    </row>
    <row r="14" ht="14.25" customHeight="1">
      <c r="B14" s="21"/>
      <c r="C14" s="5"/>
      <c r="D14" s="6"/>
      <c r="E14" s="6"/>
    </row>
    <row r="15" ht="14.25" customHeight="1">
      <c r="B15" s="34"/>
      <c r="C15" s="17" t="s">
        <v>88</v>
      </c>
      <c r="D15" s="6"/>
      <c r="E15" s="6"/>
    </row>
    <row r="16" ht="14.25" customHeight="1">
      <c r="B16" s="34">
        <v>45977.0</v>
      </c>
      <c r="C16" s="5" t="s">
        <v>8</v>
      </c>
      <c r="D16" s="6"/>
      <c r="E16" s="8">
        <v>16000.0</v>
      </c>
    </row>
    <row r="17" ht="14.25" customHeight="1">
      <c r="B17" s="34">
        <v>45966.0</v>
      </c>
      <c r="C17" s="5" t="s">
        <v>25</v>
      </c>
      <c r="D17" s="6"/>
      <c r="E17" s="8">
        <v>29000.0</v>
      </c>
    </row>
    <row r="18" ht="14.25" customHeight="1">
      <c r="B18" s="34">
        <v>45978.0</v>
      </c>
      <c r="C18" s="5" t="s">
        <v>9</v>
      </c>
      <c r="D18" s="6"/>
      <c r="E18" s="8">
        <v>10729.0</v>
      </c>
    </row>
    <row r="19" ht="14.25" customHeight="1">
      <c r="B19" s="34">
        <v>45964.0</v>
      </c>
      <c r="C19" s="9" t="s">
        <v>208</v>
      </c>
      <c r="D19" s="6"/>
      <c r="E19" s="8">
        <v>10400.0</v>
      </c>
    </row>
    <row r="20" ht="14.25" customHeight="1">
      <c r="B20" s="34">
        <v>45968.0</v>
      </c>
      <c r="C20" s="9" t="s">
        <v>142</v>
      </c>
      <c r="D20" s="6"/>
      <c r="E20" s="8">
        <v>20000.0</v>
      </c>
    </row>
    <row r="21" ht="14.25" customHeight="1">
      <c r="B21" s="21"/>
      <c r="C21" s="17"/>
      <c r="D21" s="6"/>
      <c r="E21" s="20"/>
    </row>
    <row r="22" ht="14.25" customHeight="1">
      <c r="B22" s="21"/>
      <c r="C22" s="17" t="s">
        <v>89</v>
      </c>
      <c r="D22" s="6"/>
      <c r="E22" s="20">
        <f>SUM(E16:E20)</f>
        <v>86129</v>
      </c>
    </row>
    <row r="23" ht="14.25" customHeight="1">
      <c r="B23" s="29"/>
      <c r="C23" s="17" t="s">
        <v>90</v>
      </c>
      <c r="D23" s="20">
        <f>D13-E22</f>
        <v>202121.9</v>
      </c>
      <c r="E23" s="6"/>
    </row>
    <row r="24" ht="14.25" customHeight="1">
      <c r="B24" s="21"/>
      <c r="C24" s="17"/>
      <c r="D24" s="20"/>
      <c r="E24" s="6"/>
    </row>
    <row r="25" ht="14.25" customHeight="1">
      <c r="B25" s="21"/>
      <c r="C25" s="17" t="s">
        <v>91</v>
      </c>
      <c r="D25" s="6"/>
      <c r="E25" s="20"/>
    </row>
    <row r="26" ht="14.25" customHeight="1">
      <c r="B26" s="21"/>
      <c r="C26" s="40" t="s">
        <v>209</v>
      </c>
      <c r="D26" s="6"/>
      <c r="E26" s="8">
        <v>20000.0</v>
      </c>
    </row>
    <row r="27" ht="14.25" customHeight="1">
      <c r="B27" s="21"/>
      <c r="C27" s="40" t="s">
        <v>210</v>
      </c>
      <c r="D27" s="6"/>
      <c r="E27" s="20">
        <v>-3213.0</v>
      </c>
    </row>
    <row r="28" ht="14.25" customHeight="1">
      <c r="B28" s="19"/>
      <c r="C28" s="5"/>
      <c r="D28" s="6"/>
      <c r="E28" s="6"/>
      <c r="K28" s="22"/>
    </row>
    <row r="29" ht="14.25" customHeight="1">
      <c r="B29" s="34"/>
      <c r="C29" s="5"/>
      <c r="D29" s="6"/>
      <c r="E29" s="8"/>
      <c r="K29" s="22"/>
    </row>
    <row r="30" ht="14.25" customHeight="1">
      <c r="B30" s="34">
        <v>45962.0</v>
      </c>
      <c r="C30" s="5" t="s">
        <v>11</v>
      </c>
      <c r="D30" s="6"/>
      <c r="E30" s="6">
        <v>1500.0</v>
      </c>
    </row>
    <row r="31" ht="14.25" customHeight="1">
      <c r="B31" s="34">
        <v>45962.0</v>
      </c>
      <c r="C31" s="9" t="s">
        <v>12</v>
      </c>
      <c r="D31" s="6"/>
      <c r="E31" s="8">
        <v>750.0</v>
      </c>
    </row>
    <row r="32" ht="14.25" customHeight="1">
      <c r="B32" s="34">
        <v>45962.0</v>
      </c>
      <c r="C32" s="9" t="s">
        <v>211</v>
      </c>
      <c r="D32" s="6"/>
      <c r="E32" s="8">
        <v>500.0</v>
      </c>
    </row>
    <row r="33" ht="14.25" customHeight="1">
      <c r="B33" s="34">
        <v>45980.0</v>
      </c>
      <c r="C33" s="9" t="s">
        <v>212</v>
      </c>
      <c r="D33" s="6"/>
      <c r="E33" s="8">
        <v>500.0</v>
      </c>
    </row>
    <row r="34" ht="14.25" customHeight="1">
      <c r="B34" s="34"/>
      <c r="C34" s="9"/>
      <c r="D34" s="6"/>
      <c r="E34" s="8"/>
    </row>
    <row r="35" ht="14.25" customHeight="1">
      <c r="B35" s="19"/>
      <c r="C35" s="5"/>
      <c r="D35" s="6"/>
      <c r="E35" s="6"/>
    </row>
    <row r="36" ht="14.25" customHeight="1">
      <c r="B36" s="5"/>
      <c r="C36" s="17" t="s">
        <v>94</v>
      </c>
      <c r="D36" s="6"/>
      <c r="E36" s="20">
        <f>sum(E29:E34)</f>
        <v>3250</v>
      </c>
    </row>
    <row r="37" ht="14.25" customHeight="1">
      <c r="B37" s="5"/>
      <c r="C37" s="17"/>
      <c r="D37" s="6"/>
      <c r="E37" s="20"/>
    </row>
    <row r="38" ht="14.25" customHeight="1">
      <c r="B38" s="24"/>
      <c r="C38" s="17" t="s">
        <v>95</v>
      </c>
      <c r="D38" s="20">
        <f>E26+E27-E36</f>
        <v>13537</v>
      </c>
      <c r="E38" s="20"/>
    </row>
    <row r="39" ht="14.25" customHeight="1">
      <c r="B39" s="5"/>
      <c r="C39" s="5"/>
      <c r="D39" s="6"/>
      <c r="E39" s="6"/>
    </row>
    <row r="40" ht="14.25" customHeight="1">
      <c r="B40" s="41">
        <v>45991.0</v>
      </c>
      <c r="C40" s="17" t="s">
        <v>96</v>
      </c>
      <c r="D40" s="20">
        <f>D23</f>
        <v>202121.9</v>
      </c>
      <c r="E40" s="6"/>
    </row>
    <row r="41" ht="14.25" customHeight="1">
      <c r="B41" s="41">
        <v>45991.0</v>
      </c>
      <c r="C41" s="17" t="s">
        <v>97</v>
      </c>
      <c r="D41" s="20">
        <f>D40</f>
        <v>202121.9</v>
      </c>
      <c r="E41" s="6"/>
    </row>
    <row r="42" ht="14.25" customHeight="1"/>
    <row r="43">
      <c r="C43" s="42"/>
    </row>
    <row r="44" ht="14.25" customHeight="1">
      <c r="C44" s="28"/>
    </row>
    <row r="45" ht="14.25" customHeight="1"/>
    <row r="46" ht="14.25" customHeight="1"/>
    <row r="47" ht="14.25" customHeight="1">
      <c r="E47" s="26" t="s">
        <v>98</v>
      </c>
    </row>
    <row r="48" ht="14.25" customHeight="1"/>
    <row r="49" ht="14.25" customHeight="1"/>
    <row r="50" ht="14.25" customHeight="1">
      <c r="C50" s="51" t="s">
        <v>213</v>
      </c>
      <c r="D50" s="52"/>
      <c r="E50" s="52"/>
    </row>
    <row r="51" ht="14.25" customHeight="1">
      <c r="C51" s="48" t="s">
        <v>214</v>
      </c>
      <c r="D51" s="28"/>
      <c r="E51" s="52"/>
    </row>
    <row r="52" ht="14.25" customHeight="1">
      <c r="C52" s="48" t="s">
        <v>215</v>
      </c>
      <c r="D52" s="28"/>
      <c r="E52" s="52"/>
    </row>
    <row r="53" ht="14.25" customHeight="1">
      <c r="D53" s="23"/>
    </row>
    <row r="54" ht="14.25" customHeight="1">
      <c r="B54" s="53"/>
      <c r="C54" s="54"/>
      <c r="D54" s="54"/>
    </row>
    <row r="55" ht="14.25" customHeight="1">
      <c r="B55" s="53"/>
      <c r="C55" s="54"/>
      <c r="D55" s="54"/>
    </row>
    <row r="56" ht="14.25" customHeight="1">
      <c r="B56" s="53"/>
      <c r="C56" s="10"/>
      <c r="D56" s="10"/>
    </row>
    <row r="57" ht="14.25" customHeight="1">
      <c r="B57" s="53"/>
      <c r="C57" s="54"/>
      <c r="D57" s="54"/>
    </row>
    <row r="58" ht="14.25" customHeight="1">
      <c r="B58" s="53"/>
      <c r="C58" s="10"/>
      <c r="D58" s="10"/>
    </row>
    <row r="59" ht="14.25" customHeight="1">
      <c r="B59" s="53"/>
      <c r="C59" s="10"/>
      <c r="D59" s="10"/>
    </row>
    <row r="60" ht="14.25" customHeight="1"/>
    <row r="61" ht="14.25" customHeight="1">
      <c r="B61" s="55"/>
      <c r="C61" s="10"/>
      <c r="D61" s="10"/>
    </row>
    <row r="62" ht="14.25" customHeight="1">
      <c r="F62" s="50"/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mergeCells count="3">
    <mergeCell ref="B2:E2"/>
    <mergeCell ref="B3:E3"/>
    <mergeCell ref="C43:D43"/>
  </mergeCells>
  <printOptions/>
  <pageMargins bottom="0.75" footer="0.0" header="0.0" left="0.7" right="0.7" top="0.75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0"/>
    <col customWidth="1" min="3" max="3" width="37.29"/>
    <col customWidth="1" min="4" max="4" width="25.29"/>
    <col customWidth="1" min="5" max="5" width="17.0"/>
    <col customWidth="1" min="6" max="8" width="8.71"/>
    <col customWidth="1" min="9" max="9" width="7.0"/>
    <col customWidth="1" min="10" max="26" width="8.71"/>
  </cols>
  <sheetData>
    <row r="1" ht="14.25" customHeight="1"/>
    <row r="2">
      <c r="B2" s="13" t="s">
        <v>76</v>
      </c>
      <c r="C2" s="14"/>
      <c r="D2" s="14"/>
      <c r="E2" s="15"/>
    </row>
    <row r="3">
      <c r="B3" s="38" t="s">
        <v>216</v>
      </c>
      <c r="C3" s="14"/>
      <c r="D3" s="14"/>
      <c r="E3" s="15"/>
    </row>
    <row r="4" ht="14.25" customHeight="1">
      <c r="B4" s="17" t="s">
        <v>78</v>
      </c>
      <c r="C4" s="17" t="s">
        <v>79</v>
      </c>
      <c r="D4" s="18" t="s">
        <v>80</v>
      </c>
      <c r="E4" s="18" t="s">
        <v>81</v>
      </c>
    </row>
    <row r="5" ht="14.25" customHeight="1">
      <c r="B5" s="39">
        <v>45992.0</v>
      </c>
      <c r="C5" s="17" t="s">
        <v>82</v>
      </c>
      <c r="D5" s="20">
        <v>202121.90000000002</v>
      </c>
      <c r="E5" s="6"/>
    </row>
    <row r="6" ht="14.25" customHeight="1">
      <c r="B6" s="21"/>
      <c r="C6" s="5" t="s">
        <v>83</v>
      </c>
      <c r="D6" s="6">
        <v>0.0</v>
      </c>
      <c r="E6" s="6"/>
    </row>
    <row r="7" ht="14.25" customHeight="1">
      <c r="B7" s="21"/>
      <c r="C7" s="9" t="s">
        <v>217</v>
      </c>
      <c r="D7" s="6">
        <v>165.20000000001164</v>
      </c>
      <c r="E7" s="6"/>
      <c r="I7" s="56"/>
    </row>
    <row r="8" ht="14.25" customHeight="1">
      <c r="B8" s="21"/>
      <c r="C8" s="5" t="s">
        <v>84</v>
      </c>
      <c r="D8" s="6">
        <f>D5-D7</f>
        <v>201956.7</v>
      </c>
      <c r="E8" s="6"/>
    </row>
    <row r="9" ht="14.25" customHeight="1">
      <c r="B9" s="21"/>
      <c r="C9" s="5"/>
      <c r="D9" s="6"/>
      <c r="E9" s="6"/>
    </row>
    <row r="10" ht="14.25" customHeight="1">
      <c r="B10" s="21"/>
      <c r="C10" s="17" t="s">
        <v>85</v>
      </c>
      <c r="D10" s="6"/>
      <c r="E10" s="6"/>
    </row>
    <row r="11" ht="14.25" customHeight="1">
      <c r="B11" s="21"/>
      <c r="C11" s="5" t="s">
        <v>5</v>
      </c>
      <c r="D11" s="8">
        <v>52000.0</v>
      </c>
      <c r="E11" s="6"/>
      <c r="I11" s="56"/>
    </row>
    <row r="12" ht="14.25" customHeight="1">
      <c r="B12" s="21"/>
      <c r="C12" s="9" t="s">
        <v>218</v>
      </c>
      <c r="D12" s="8">
        <v>1398.0</v>
      </c>
      <c r="E12" s="6"/>
      <c r="I12" s="56"/>
    </row>
    <row r="13" ht="14.25" customHeight="1">
      <c r="B13" s="21"/>
      <c r="C13" s="17" t="s">
        <v>86</v>
      </c>
      <c r="D13" s="20">
        <f>SUM(D11,D12)</f>
        <v>53398</v>
      </c>
      <c r="E13" s="6"/>
      <c r="I13" s="56"/>
    </row>
    <row r="14" ht="14.25" customHeight="1">
      <c r="B14" s="21"/>
      <c r="C14" s="17" t="s">
        <v>87</v>
      </c>
      <c r="D14" s="20">
        <f>D8+D13</f>
        <v>255354.7</v>
      </c>
      <c r="E14" s="6"/>
      <c r="I14" s="56"/>
    </row>
    <row r="15" ht="14.25" customHeight="1">
      <c r="B15" s="21"/>
      <c r="C15" s="5"/>
      <c r="D15" s="6"/>
      <c r="E15" s="6"/>
      <c r="I15" s="56"/>
    </row>
    <row r="16" ht="14.25" customHeight="1">
      <c r="B16" s="34"/>
      <c r="C16" s="17" t="s">
        <v>88</v>
      </c>
      <c r="D16" s="6"/>
      <c r="E16" s="6"/>
    </row>
    <row r="17" ht="14.25" customHeight="1">
      <c r="B17" s="34">
        <v>46001.0</v>
      </c>
      <c r="C17" s="5" t="s">
        <v>8</v>
      </c>
      <c r="D17" s="6"/>
      <c r="E17" s="8">
        <v>16000.0</v>
      </c>
      <c r="G17" s="56"/>
      <c r="I17" s="56"/>
    </row>
    <row r="18" ht="14.25" customHeight="1">
      <c r="B18" s="34">
        <v>45997.0</v>
      </c>
      <c r="C18" s="5" t="s">
        <v>25</v>
      </c>
      <c r="D18" s="6"/>
      <c r="E18" s="8">
        <v>29000.0</v>
      </c>
      <c r="G18" s="56"/>
    </row>
    <row r="19" ht="14.25" customHeight="1">
      <c r="B19" s="34">
        <v>46008.0</v>
      </c>
      <c r="C19" s="5" t="s">
        <v>9</v>
      </c>
      <c r="D19" s="6"/>
      <c r="E19" s="8">
        <f>2520+5701+2555</f>
        <v>10776</v>
      </c>
    </row>
    <row r="20" ht="14.25" customHeight="1">
      <c r="B20" s="34">
        <v>46000.0</v>
      </c>
      <c r="C20" s="9" t="s">
        <v>41</v>
      </c>
      <c r="D20" s="6"/>
      <c r="E20" s="8">
        <v>10030.0</v>
      </c>
      <c r="G20" s="56"/>
    </row>
    <row r="21" ht="14.25" customHeight="1">
      <c r="B21" s="34">
        <v>46008.0</v>
      </c>
      <c r="C21" s="9" t="s">
        <v>219</v>
      </c>
      <c r="D21" s="6"/>
      <c r="E21" s="8">
        <f>11548+10365</f>
        <v>21913</v>
      </c>
    </row>
    <row r="22" ht="14.25" customHeight="1">
      <c r="B22" s="34">
        <v>46020.0</v>
      </c>
      <c r="C22" s="9" t="s">
        <v>142</v>
      </c>
      <c r="D22" s="6"/>
      <c r="E22" s="8">
        <v>25000.0</v>
      </c>
      <c r="G22" s="56"/>
    </row>
    <row r="23" ht="14.25" customHeight="1">
      <c r="B23" s="21"/>
      <c r="C23" s="17"/>
      <c r="D23" s="6"/>
      <c r="E23" s="20"/>
    </row>
    <row r="24" ht="14.25" customHeight="1">
      <c r="B24" s="21"/>
      <c r="C24" s="17" t="s">
        <v>89</v>
      </c>
      <c r="D24" s="6"/>
      <c r="E24" s="20">
        <f>SUM(E17:E22)</f>
        <v>112719</v>
      </c>
    </row>
    <row r="25" ht="14.25" customHeight="1">
      <c r="B25" s="29"/>
      <c r="C25" s="17" t="s">
        <v>90</v>
      </c>
      <c r="D25" s="20">
        <f>D14-E24</f>
        <v>142635.7</v>
      </c>
      <c r="E25" s="6"/>
    </row>
    <row r="26" ht="14.25" customHeight="1">
      <c r="B26" s="21"/>
      <c r="C26" s="17"/>
      <c r="D26" s="20"/>
      <c r="E26" s="6"/>
    </row>
    <row r="27" ht="14.25" customHeight="1">
      <c r="B27" s="21"/>
      <c r="C27" s="17" t="s">
        <v>91</v>
      </c>
      <c r="D27" s="6"/>
      <c r="E27" s="20"/>
    </row>
    <row r="28" ht="14.25" customHeight="1">
      <c r="B28" s="21"/>
      <c r="C28" s="40" t="s">
        <v>220</v>
      </c>
      <c r="D28" s="6"/>
      <c r="E28" s="8">
        <v>25000.0</v>
      </c>
    </row>
    <row r="29" ht="14.25" customHeight="1">
      <c r="B29" s="21"/>
      <c r="C29" s="40" t="s">
        <v>221</v>
      </c>
      <c r="D29" s="6"/>
      <c r="E29" s="20">
        <v>13537.0</v>
      </c>
    </row>
    <row r="30" ht="14.25" customHeight="1">
      <c r="B30" s="19"/>
      <c r="C30" s="5"/>
      <c r="D30" s="6"/>
      <c r="E30" s="6"/>
      <c r="K30" s="22"/>
    </row>
    <row r="31" ht="14.25" customHeight="1">
      <c r="B31" s="34"/>
      <c r="C31" s="5"/>
      <c r="D31" s="6"/>
      <c r="E31" s="8"/>
      <c r="K31" s="22"/>
    </row>
    <row r="32" ht="14.25" customHeight="1">
      <c r="B32" s="34">
        <v>45992.0</v>
      </c>
      <c r="C32" s="5" t="s">
        <v>11</v>
      </c>
      <c r="D32" s="6"/>
      <c r="E32" s="6">
        <v>1500.0</v>
      </c>
    </row>
    <row r="33" ht="14.25" customHeight="1">
      <c r="B33" s="34">
        <v>45992.0</v>
      </c>
      <c r="C33" s="9" t="s">
        <v>12</v>
      </c>
      <c r="D33" s="6"/>
      <c r="E33" s="8">
        <v>750.0</v>
      </c>
    </row>
    <row r="34" ht="14.25" customHeight="1">
      <c r="B34" s="34">
        <v>45992.0</v>
      </c>
      <c r="C34" s="9" t="s">
        <v>211</v>
      </c>
      <c r="D34" s="6"/>
      <c r="E34" s="8">
        <v>500.0</v>
      </c>
    </row>
    <row r="35" ht="14.25" customHeight="1">
      <c r="B35" s="34">
        <v>45994.0</v>
      </c>
      <c r="C35" s="9" t="s">
        <v>222</v>
      </c>
      <c r="D35" s="6"/>
      <c r="E35" s="8">
        <v>580.0</v>
      </c>
    </row>
    <row r="36" ht="14.25" customHeight="1">
      <c r="B36" s="34">
        <v>46006.0</v>
      </c>
      <c r="C36" s="9" t="s">
        <v>223</v>
      </c>
      <c r="D36" s="6"/>
      <c r="E36" s="8">
        <v>4550.0</v>
      </c>
    </row>
    <row r="37" ht="14.25" customHeight="1">
      <c r="B37" s="34">
        <v>46015.0</v>
      </c>
      <c r="C37" s="9" t="s">
        <v>22</v>
      </c>
      <c r="D37" s="6"/>
      <c r="E37" s="8">
        <v>1000.0</v>
      </c>
    </row>
    <row r="38" ht="14.25" customHeight="1">
      <c r="B38" s="34">
        <v>46016.0</v>
      </c>
      <c r="C38" s="9" t="s">
        <v>224</v>
      </c>
      <c r="D38" s="6"/>
      <c r="E38" s="8">
        <v>16000.0</v>
      </c>
    </row>
    <row r="39" ht="14.25" customHeight="1">
      <c r="B39" s="19"/>
      <c r="C39" s="5"/>
      <c r="D39" s="6"/>
      <c r="E39" s="6"/>
    </row>
    <row r="40" ht="14.25" customHeight="1">
      <c r="B40" s="5"/>
      <c r="C40" s="17" t="s">
        <v>94</v>
      </c>
      <c r="D40" s="6"/>
      <c r="E40" s="20">
        <f>sum(E31:E38)</f>
        <v>24880</v>
      </c>
    </row>
    <row r="41" ht="14.25" customHeight="1">
      <c r="B41" s="5"/>
      <c r="C41" s="17"/>
      <c r="D41" s="6"/>
      <c r="E41" s="20"/>
    </row>
    <row r="42" ht="14.25" customHeight="1">
      <c r="B42" s="24"/>
      <c r="C42" s="17" t="s">
        <v>95</v>
      </c>
      <c r="D42" s="20">
        <f>E28+E29-E40</f>
        <v>13657</v>
      </c>
      <c r="E42" s="20"/>
    </row>
    <row r="43" ht="14.25" customHeight="1">
      <c r="B43" s="5"/>
      <c r="C43" s="5"/>
      <c r="D43" s="6"/>
      <c r="E43" s="6"/>
    </row>
    <row r="44" ht="14.25" customHeight="1">
      <c r="B44" s="41">
        <v>46022.0</v>
      </c>
      <c r="C44" s="17" t="s">
        <v>96</v>
      </c>
      <c r="D44" s="20">
        <f>D25</f>
        <v>142635.7</v>
      </c>
      <c r="E44" s="6"/>
    </row>
    <row r="45" ht="14.25" customHeight="1">
      <c r="B45" s="41">
        <v>46022.0</v>
      </c>
      <c r="C45" s="17" t="s">
        <v>97</v>
      </c>
      <c r="D45" s="20">
        <f>D44</f>
        <v>142635.7</v>
      </c>
      <c r="E45" s="6"/>
      <c r="G45" s="57"/>
    </row>
    <row r="46" ht="14.25" customHeight="1"/>
    <row r="47">
      <c r="C47" s="42"/>
    </row>
    <row r="48" ht="14.25" customHeight="1">
      <c r="C48" s="28"/>
    </row>
    <row r="49" ht="14.25" customHeight="1"/>
    <row r="50" ht="14.25" customHeight="1"/>
    <row r="51" ht="14.25" customHeight="1">
      <c r="E51" s="26" t="s">
        <v>98</v>
      </c>
    </row>
    <row r="52" ht="14.25" customHeight="1"/>
    <row r="53" ht="30.75" customHeight="1">
      <c r="C53" s="58" t="s">
        <v>225</v>
      </c>
    </row>
    <row r="54" ht="14.25" customHeight="1">
      <c r="C54" s="51"/>
      <c r="D54" s="52"/>
      <c r="E54" s="52"/>
    </row>
    <row r="55" ht="14.25" customHeight="1">
      <c r="D55" s="28"/>
      <c r="E55" s="52"/>
    </row>
    <row r="56" ht="14.25" customHeight="1">
      <c r="C56" s="48"/>
      <c r="D56" s="28"/>
      <c r="E56" s="52"/>
    </row>
    <row r="57" ht="14.25" customHeight="1">
      <c r="D57" s="23"/>
    </row>
    <row r="58" ht="14.25" customHeight="1">
      <c r="B58" s="53"/>
      <c r="C58" s="54"/>
      <c r="D58" s="54"/>
    </row>
    <row r="59" ht="14.25" customHeight="1">
      <c r="B59" s="53"/>
      <c r="C59" s="54"/>
      <c r="D59" s="54"/>
    </row>
    <row r="60" ht="14.25" customHeight="1">
      <c r="B60" s="53"/>
      <c r="C60" s="10"/>
      <c r="D60" s="10"/>
    </row>
    <row r="61" ht="14.25" customHeight="1">
      <c r="B61" s="53"/>
      <c r="C61" s="54"/>
      <c r="D61" s="54"/>
    </row>
    <row r="62" ht="14.25" customHeight="1">
      <c r="B62" s="53"/>
      <c r="C62" s="10"/>
      <c r="D62" s="10"/>
    </row>
    <row r="63" ht="14.25" customHeight="1">
      <c r="B63" s="53"/>
      <c r="C63" s="10"/>
      <c r="D63" s="10"/>
    </row>
    <row r="64" ht="14.25" customHeight="1"/>
    <row r="65" ht="14.25" customHeight="1">
      <c r="B65" s="55"/>
      <c r="C65" s="10"/>
      <c r="D65" s="10"/>
    </row>
    <row r="66" ht="14.25" customHeight="1">
      <c r="F66" s="50"/>
    </row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4">
    <mergeCell ref="B2:E2"/>
    <mergeCell ref="B3:E3"/>
    <mergeCell ref="C47:D47"/>
    <mergeCell ref="C53:D53"/>
  </mergeCells>
  <printOptions/>
  <pageMargins bottom="0.75" footer="0.0" header="0.0" left="0.7" right="0.7" top="0.7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0"/>
    <col customWidth="1" min="3" max="3" width="37.29"/>
    <col customWidth="1" min="4" max="4" width="25.29"/>
    <col customWidth="1" min="5" max="5" width="17.0"/>
    <col customWidth="1" min="6" max="26" width="8.71"/>
  </cols>
  <sheetData>
    <row r="1" ht="14.25" customHeight="1"/>
    <row r="2">
      <c r="B2" s="13" t="s">
        <v>76</v>
      </c>
      <c r="C2" s="14"/>
      <c r="D2" s="14"/>
      <c r="E2" s="15"/>
    </row>
    <row r="3">
      <c r="B3" s="38" t="s">
        <v>226</v>
      </c>
      <c r="C3" s="14"/>
      <c r="D3" s="14"/>
      <c r="E3" s="15"/>
    </row>
    <row r="4" ht="14.25" customHeight="1">
      <c r="B4" s="17" t="s">
        <v>78</v>
      </c>
      <c r="C4" s="17" t="s">
        <v>79</v>
      </c>
      <c r="D4" s="18" t="s">
        <v>80</v>
      </c>
      <c r="E4" s="18" t="s">
        <v>81</v>
      </c>
    </row>
    <row r="5" ht="14.25" customHeight="1">
      <c r="B5" s="39">
        <v>46023.0</v>
      </c>
      <c r="C5" s="17" t="s">
        <v>82</v>
      </c>
      <c r="D5" s="20">
        <v>142635.7</v>
      </c>
      <c r="E5" s="6"/>
    </row>
    <row r="6" ht="14.25" customHeight="1">
      <c r="B6" s="21"/>
      <c r="C6" s="5" t="s">
        <v>83</v>
      </c>
      <c r="D6" s="6">
        <v>0.0</v>
      </c>
      <c r="E6" s="6"/>
    </row>
    <row r="7" ht="14.25" customHeight="1">
      <c r="B7" s="21"/>
      <c r="C7" s="5" t="s">
        <v>84</v>
      </c>
      <c r="D7" s="6">
        <f>D5-D6</f>
        <v>142635.7</v>
      </c>
      <c r="E7" s="6"/>
    </row>
    <row r="8" ht="14.25" customHeight="1">
      <c r="B8" s="21"/>
      <c r="C8" s="5"/>
      <c r="D8" s="6"/>
      <c r="E8" s="6"/>
    </row>
    <row r="9" ht="14.25" customHeight="1">
      <c r="B9" s="21"/>
      <c r="C9" s="17" t="s">
        <v>85</v>
      </c>
      <c r="D9" s="6"/>
      <c r="E9" s="6"/>
    </row>
    <row r="10" ht="14.25" customHeight="1">
      <c r="B10" s="21"/>
      <c r="C10" s="5" t="s">
        <v>5</v>
      </c>
      <c r="D10" s="8">
        <v>62400.0</v>
      </c>
      <c r="E10" s="6"/>
    </row>
    <row r="11" ht="14.25" customHeight="1">
      <c r="B11" s="21"/>
      <c r="C11" s="9" t="s">
        <v>207</v>
      </c>
      <c r="D11" s="8">
        <v>0.0</v>
      </c>
      <c r="E11" s="6"/>
    </row>
    <row r="12" ht="14.25" customHeight="1">
      <c r="B12" s="21"/>
      <c r="C12" s="17" t="s">
        <v>86</v>
      </c>
      <c r="D12" s="20">
        <f>SUM(D10,D11)</f>
        <v>62400</v>
      </c>
      <c r="E12" s="6"/>
    </row>
    <row r="13" ht="14.25" customHeight="1">
      <c r="B13" s="21"/>
      <c r="C13" s="17" t="s">
        <v>87</v>
      </c>
      <c r="D13" s="20">
        <f>D5+D12</f>
        <v>205035.7</v>
      </c>
      <c r="E13" s="6"/>
    </row>
    <row r="14" ht="14.25" customHeight="1">
      <c r="B14" s="21"/>
      <c r="C14" s="5"/>
      <c r="D14" s="6"/>
      <c r="E14" s="6"/>
    </row>
    <row r="15" ht="14.25" customHeight="1">
      <c r="B15" s="34"/>
      <c r="C15" s="17" t="s">
        <v>88</v>
      </c>
      <c r="D15" s="6"/>
      <c r="E15" s="6"/>
    </row>
    <row r="16" ht="14.25" customHeight="1">
      <c r="B16" s="34">
        <v>46029.0</v>
      </c>
      <c r="C16" s="5" t="s">
        <v>8</v>
      </c>
      <c r="D16" s="6"/>
      <c r="E16" s="8">
        <v>16000.0</v>
      </c>
    </row>
    <row r="17" ht="14.25" customHeight="1">
      <c r="B17" s="34">
        <v>46034.0</v>
      </c>
      <c r="C17" s="5" t="s">
        <v>25</v>
      </c>
      <c r="D17" s="6"/>
      <c r="E17" s="8">
        <v>29000.0</v>
      </c>
    </row>
    <row r="18" ht="14.25" customHeight="1">
      <c r="B18" s="34">
        <v>46039.0</v>
      </c>
      <c r="C18" s="5" t="s">
        <v>9</v>
      </c>
      <c r="D18" s="6"/>
      <c r="E18" s="8">
        <v>11005.0</v>
      </c>
    </row>
    <row r="19" ht="14.25" customHeight="1">
      <c r="B19" s="34">
        <v>46038.0</v>
      </c>
      <c r="C19" s="9" t="s">
        <v>31</v>
      </c>
      <c r="D19" s="6"/>
      <c r="E19" s="8">
        <v>10225.0</v>
      </c>
    </row>
    <row r="20" ht="14.25" customHeight="1">
      <c r="B20" s="34"/>
      <c r="C20" s="9"/>
      <c r="D20" s="6"/>
      <c r="E20" s="8"/>
    </row>
    <row r="21" ht="14.25" customHeight="1">
      <c r="B21" s="21"/>
      <c r="C21" s="17"/>
      <c r="D21" s="6"/>
      <c r="E21" s="20"/>
    </row>
    <row r="22" ht="14.25" customHeight="1">
      <c r="B22" s="21"/>
      <c r="C22" s="17" t="s">
        <v>89</v>
      </c>
      <c r="D22" s="6"/>
      <c r="E22" s="20">
        <f>SUM(E16:E20)</f>
        <v>66230</v>
      </c>
    </row>
    <row r="23" ht="14.25" customHeight="1">
      <c r="B23" s="29"/>
      <c r="C23" s="17" t="s">
        <v>90</v>
      </c>
      <c r="D23" s="20">
        <f>D13-E22</f>
        <v>138805.7</v>
      </c>
      <c r="E23" s="6"/>
    </row>
    <row r="24" ht="14.25" customHeight="1">
      <c r="B24" s="21"/>
      <c r="C24" s="17"/>
      <c r="D24" s="20"/>
      <c r="E24" s="6"/>
    </row>
    <row r="25" ht="14.25" customHeight="1">
      <c r="B25" s="21"/>
      <c r="C25" s="59" t="s">
        <v>91</v>
      </c>
      <c r="D25" s="6"/>
      <c r="E25" s="20"/>
    </row>
    <row r="26" ht="14.25" customHeight="1">
      <c r="B26" s="21"/>
      <c r="C26" s="40" t="s">
        <v>227</v>
      </c>
      <c r="D26" s="6"/>
      <c r="E26" s="8">
        <v>0.0</v>
      </c>
    </row>
    <row r="27" ht="14.25" customHeight="1">
      <c r="B27" s="21"/>
      <c r="C27" s="40" t="s">
        <v>228</v>
      </c>
      <c r="D27" s="6"/>
      <c r="E27" s="20">
        <v>13657.0</v>
      </c>
    </row>
    <row r="28" ht="14.25" customHeight="1">
      <c r="B28" s="19"/>
      <c r="C28" s="5"/>
      <c r="D28" s="6"/>
      <c r="E28" s="6"/>
      <c r="K28" s="22"/>
    </row>
    <row r="29" ht="14.25" customHeight="1">
      <c r="B29" s="34"/>
      <c r="C29" s="5"/>
      <c r="D29" s="6"/>
      <c r="E29" s="8"/>
      <c r="K29" s="22"/>
    </row>
    <row r="30" ht="14.25" customHeight="1">
      <c r="B30" s="34">
        <v>46024.0</v>
      </c>
      <c r="C30" s="5" t="s">
        <v>11</v>
      </c>
      <c r="D30" s="6"/>
      <c r="E30" s="6">
        <v>1500.0</v>
      </c>
    </row>
    <row r="31" ht="14.25" customHeight="1">
      <c r="B31" s="34">
        <v>46024.0</v>
      </c>
      <c r="C31" s="9" t="s">
        <v>12</v>
      </c>
      <c r="D31" s="6"/>
      <c r="E31" s="8">
        <v>750.0</v>
      </c>
    </row>
    <row r="32" ht="14.25" customHeight="1">
      <c r="B32" s="34">
        <v>46024.0</v>
      </c>
      <c r="C32" s="9" t="s">
        <v>211</v>
      </c>
      <c r="D32" s="6"/>
      <c r="E32" s="8">
        <v>500.0</v>
      </c>
    </row>
    <row r="33" ht="14.25" customHeight="1">
      <c r="B33" s="34">
        <v>46044.0</v>
      </c>
      <c r="C33" s="9" t="s">
        <v>229</v>
      </c>
      <c r="D33" s="6"/>
      <c r="E33" s="8">
        <v>1300.0</v>
      </c>
    </row>
    <row r="34" ht="14.25" customHeight="1">
      <c r="B34" s="34"/>
      <c r="C34" s="9"/>
      <c r="D34" s="6"/>
      <c r="E34" s="8"/>
    </row>
    <row r="35" ht="14.25" customHeight="1">
      <c r="B35" s="19"/>
      <c r="C35" s="5"/>
      <c r="D35" s="6"/>
      <c r="E35" s="6"/>
    </row>
    <row r="36" ht="14.25" customHeight="1">
      <c r="B36" s="5"/>
      <c r="C36" s="17" t="s">
        <v>94</v>
      </c>
      <c r="D36" s="6"/>
      <c r="E36" s="20">
        <f>sum(E29:E34)</f>
        <v>4050</v>
      </c>
    </row>
    <row r="37" ht="14.25" customHeight="1">
      <c r="B37" s="5"/>
      <c r="C37" s="17"/>
      <c r="D37" s="6"/>
      <c r="E37" s="20"/>
    </row>
    <row r="38" ht="14.25" customHeight="1">
      <c r="B38" s="24"/>
      <c r="C38" s="17" t="s">
        <v>95</v>
      </c>
      <c r="D38" s="20">
        <f>E26+E27-E36</f>
        <v>9607</v>
      </c>
      <c r="E38" s="20"/>
    </row>
    <row r="39" ht="14.25" customHeight="1">
      <c r="B39" s="5"/>
      <c r="C39" s="5"/>
      <c r="D39" s="6"/>
      <c r="E39" s="6"/>
    </row>
    <row r="40" ht="14.25" customHeight="1">
      <c r="B40" s="41">
        <v>46053.0</v>
      </c>
      <c r="C40" s="17" t="s">
        <v>96</v>
      </c>
      <c r="D40" s="20">
        <f>D23</f>
        <v>138805.7</v>
      </c>
      <c r="E40" s="6"/>
    </row>
    <row r="41" ht="14.25" customHeight="1">
      <c r="B41" s="41">
        <v>46053.0</v>
      </c>
      <c r="C41" s="17" t="s">
        <v>97</v>
      </c>
      <c r="D41" s="20">
        <f>D40</f>
        <v>138805.7</v>
      </c>
      <c r="E41" s="6"/>
    </row>
    <row r="42" ht="14.25" customHeight="1"/>
    <row r="43">
      <c r="C43" s="42"/>
    </row>
    <row r="44" ht="14.25" customHeight="1">
      <c r="C44" s="28"/>
    </row>
    <row r="45" ht="14.25" customHeight="1"/>
    <row r="46" ht="14.25" customHeight="1"/>
    <row r="47" ht="14.25" customHeight="1">
      <c r="E47" s="26" t="s">
        <v>98</v>
      </c>
    </row>
    <row r="48" ht="14.25" customHeight="1"/>
    <row r="49" ht="14.25" customHeight="1"/>
    <row r="50" ht="14.25" customHeight="1">
      <c r="C50" s="51"/>
      <c r="D50" s="52"/>
      <c r="E50" s="52"/>
    </row>
    <row r="51" ht="14.25" customHeight="1">
      <c r="C51" s="48"/>
      <c r="D51" s="28"/>
      <c r="E51" s="52"/>
    </row>
    <row r="52" ht="14.25" customHeight="1">
      <c r="C52" s="48"/>
      <c r="D52" s="28"/>
      <c r="E52" s="52"/>
    </row>
    <row r="53" ht="14.25" customHeight="1">
      <c r="D53" s="23"/>
    </row>
    <row r="54" ht="14.25" customHeight="1">
      <c r="B54" s="53"/>
      <c r="C54" s="54"/>
      <c r="D54" s="54"/>
    </row>
    <row r="55" ht="14.25" customHeight="1">
      <c r="B55" s="53"/>
      <c r="C55" s="54"/>
      <c r="D55" s="54"/>
    </row>
    <row r="56" ht="14.25" customHeight="1">
      <c r="B56" s="53"/>
      <c r="C56" s="10"/>
      <c r="D56" s="10"/>
    </row>
    <row r="57" ht="14.25" customHeight="1">
      <c r="B57" s="53"/>
      <c r="C57" s="54"/>
      <c r="D57" s="54"/>
    </row>
    <row r="58" ht="14.25" customHeight="1">
      <c r="B58" s="53"/>
      <c r="C58" s="10"/>
      <c r="D58" s="10"/>
    </row>
    <row r="59" ht="14.25" customHeight="1">
      <c r="B59" s="53"/>
      <c r="C59" s="10"/>
      <c r="D59" s="10"/>
    </row>
    <row r="60" ht="14.25" customHeight="1"/>
    <row r="61" ht="14.25" customHeight="1">
      <c r="B61" s="55"/>
      <c r="C61" s="10"/>
      <c r="D61" s="10"/>
    </row>
    <row r="62" ht="14.25" customHeight="1">
      <c r="F62" s="50"/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mergeCells count="3">
    <mergeCell ref="B2:E2"/>
    <mergeCell ref="B3:E3"/>
    <mergeCell ref="C43:D43"/>
  </mergeCells>
  <printOptions/>
  <pageMargins bottom="0.75" footer="0.0" header="0.0" left="0.7" right="0.7" top="0.7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0"/>
    <col customWidth="1" min="3" max="3" width="37.29"/>
    <col customWidth="1" min="4" max="4" width="25.29"/>
    <col customWidth="1" min="5" max="5" width="17.0"/>
    <col customWidth="1" min="6" max="26" width="8.71"/>
  </cols>
  <sheetData>
    <row r="1" ht="14.25" customHeight="1"/>
    <row r="2">
      <c r="B2" s="13" t="s">
        <v>76</v>
      </c>
      <c r="C2" s="14"/>
      <c r="D2" s="14"/>
      <c r="E2" s="15"/>
    </row>
    <row r="3">
      <c r="B3" s="38" t="s">
        <v>230</v>
      </c>
      <c r="C3" s="14"/>
      <c r="D3" s="14"/>
      <c r="E3" s="15"/>
    </row>
    <row r="4" ht="14.25" customHeight="1">
      <c r="B4" s="17" t="s">
        <v>78</v>
      </c>
      <c r="C4" s="17" t="s">
        <v>79</v>
      </c>
      <c r="D4" s="18" t="s">
        <v>80</v>
      </c>
      <c r="E4" s="18" t="s">
        <v>81</v>
      </c>
    </row>
    <row r="5" ht="14.25" customHeight="1">
      <c r="B5" s="39">
        <v>46054.0</v>
      </c>
      <c r="C5" s="17" t="s">
        <v>82</v>
      </c>
      <c r="D5" s="20">
        <v>138805.7</v>
      </c>
      <c r="E5" s="6"/>
    </row>
    <row r="6" ht="14.25" customHeight="1">
      <c r="B6" s="21"/>
      <c r="C6" s="5" t="s">
        <v>83</v>
      </c>
      <c r="D6" s="6">
        <v>0.0</v>
      </c>
      <c r="E6" s="6"/>
    </row>
    <row r="7" ht="14.25" customHeight="1">
      <c r="B7" s="21"/>
      <c r="C7" s="5" t="s">
        <v>84</v>
      </c>
      <c r="D7" s="6">
        <f>D5-D6</f>
        <v>138805.7</v>
      </c>
      <c r="E7" s="6"/>
    </row>
    <row r="8" ht="14.25" customHeight="1">
      <c r="B8" s="21"/>
      <c r="C8" s="5"/>
      <c r="D8" s="6"/>
      <c r="E8" s="6"/>
    </row>
    <row r="9" ht="14.25" customHeight="1">
      <c r="B9" s="21"/>
      <c r="C9" s="17" t="s">
        <v>85</v>
      </c>
      <c r="D9" s="6"/>
      <c r="E9" s="6"/>
    </row>
    <row r="10" ht="14.25" customHeight="1">
      <c r="B10" s="21"/>
      <c r="C10" s="5" t="s">
        <v>5</v>
      </c>
      <c r="D10" s="8">
        <v>91800.0</v>
      </c>
      <c r="E10" s="6"/>
    </row>
    <row r="11" ht="14.25" customHeight="1">
      <c r="B11" s="43">
        <v>46077.0</v>
      </c>
      <c r="C11" s="9" t="s">
        <v>231</v>
      </c>
      <c r="D11" s="8">
        <v>215870.0</v>
      </c>
      <c r="E11" s="6"/>
    </row>
    <row r="12" ht="14.25" customHeight="1">
      <c r="B12" s="21"/>
      <c r="C12" s="17" t="s">
        <v>86</v>
      </c>
      <c r="D12" s="20">
        <f>SUM(D10,D11)</f>
        <v>307670</v>
      </c>
      <c r="E12" s="6"/>
    </row>
    <row r="13" ht="14.25" customHeight="1">
      <c r="B13" s="21"/>
      <c r="C13" s="17" t="s">
        <v>87</v>
      </c>
      <c r="D13" s="20">
        <f>D5+D12</f>
        <v>446475.7</v>
      </c>
      <c r="E13" s="6"/>
    </row>
    <row r="14" ht="14.25" customHeight="1">
      <c r="B14" s="21"/>
      <c r="C14" s="5"/>
      <c r="D14" s="6"/>
      <c r="E14" s="6"/>
    </row>
    <row r="15" ht="14.25" customHeight="1">
      <c r="B15" s="34"/>
      <c r="C15" s="17" t="s">
        <v>88</v>
      </c>
      <c r="D15" s="6"/>
      <c r="E15" s="6"/>
    </row>
    <row r="16" ht="14.25" customHeight="1">
      <c r="B16" s="34">
        <v>46059.0</v>
      </c>
      <c r="C16" s="5" t="s">
        <v>8</v>
      </c>
      <c r="D16" s="6"/>
      <c r="E16" s="8">
        <v>16000.0</v>
      </c>
    </row>
    <row r="17" ht="14.25" customHeight="1">
      <c r="B17" s="34">
        <v>46064.0</v>
      </c>
      <c r="C17" s="5" t="s">
        <v>25</v>
      </c>
      <c r="D17" s="6"/>
      <c r="E17" s="8">
        <v>29000.0</v>
      </c>
    </row>
    <row r="18" ht="14.25" customHeight="1">
      <c r="B18" s="34">
        <v>46070.0</v>
      </c>
      <c r="C18" s="5" t="s">
        <v>9</v>
      </c>
      <c r="D18" s="6"/>
      <c r="E18" s="8">
        <v>10670.0</v>
      </c>
    </row>
    <row r="19" ht="14.25" customHeight="1">
      <c r="B19" s="34">
        <v>46076.0</v>
      </c>
      <c r="C19" s="9" t="s">
        <v>31</v>
      </c>
      <c r="D19" s="6"/>
      <c r="E19" s="8">
        <v>10125.0</v>
      </c>
    </row>
    <row r="20" ht="14.25" customHeight="1">
      <c r="B20" s="34">
        <v>46079.0</v>
      </c>
      <c r="C20" s="9" t="s">
        <v>160</v>
      </c>
      <c r="D20" s="6"/>
      <c r="E20" s="8">
        <v>177000.0</v>
      </c>
    </row>
    <row r="21" ht="14.25" customHeight="1">
      <c r="B21" s="21"/>
      <c r="C21" s="17"/>
      <c r="D21" s="6"/>
      <c r="E21" s="20"/>
    </row>
    <row r="22" ht="14.25" customHeight="1">
      <c r="B22" s="21"/>
      <c r="C22" s="17" t="s">
        <v>89</v>
      </c>
      <c r="D22" s="6"/>
      <c r="E22" s="20">
        <f>SUM(E16:E20)</f>
        <v>242795</v>
      </c>
    </row>
    <row r="23" ht="14.25" customHeight="1">
      <c r="B23" s="29"/>
      <c r="C23" s="17" t="s">
        <v>90</v>
      </c>
      <c r="D23" s="20">
        <f>D13-E22</f>
        <v>203680.7</v>
      </c>
      <c r="E23" s="6"/>
    </row>
    <row r="24" ht="14.25" customHeight="1">
      <c r="B24" s="21"/>
      <c r="C24" s="17"/>
      <c r="D24" s="20"/>
      <c r="E24" s="6"/>
    </row>
    <row r="25" ht="14.25" customHeight="1">
      <c r="B25" s="21"/>
      <c r="C25" s="17" t="s">
        <v>91</v>
      </c>
      <c r="D25" s="6"/>
      <c r="E25" s="20"/>
    </row>
    <row r="26" ht="14.25" customHeight="1">
      <c r="B26" s="21"/>
      <c r="C26" s="40" t="s">
        <v>232</v>
      </c>
      <c r="D26" s="6"/>
      <c r="E26" s="8">
        <v>0.0</v>
      </c>
    </row>
    <row r="27" ht="14.25" customHeight="1">
      <c r="B27" s="21"/>
      <c r="C27" s="40" t="s">
        <v>233</v>
      </c>
      <c r="D27" s="6"/>
      <c r="E27" s="20">
        <v>9607.0</v>
      </c>
    </row>
    <row r="28" ht="14.25" customHeight="1">
      <c r="B28" s="19"/>
      <c r="C28" s="5"/>
      <c r="D28" s="6"/>
      <c r="E28" s="6"/>
      <c r="K28" s="22"/>
    </row>
    <row r="29" ht="14.25" customHeight="1">
      <c r="B29" s="34"/>
      <c r="C29" s="5"/>
      <c r="D29" s="6"/>
      <c r="E29" s="8"/>
      <c r="K29" s="22"/>
    </row>
    <row r="30" ht="14.25" customHeight="1">
      <c r="B30" s="34">
        <v>46054.0</v>
      </c>
      <c r="C30" s="5" t="s">
        <v>11</v>
      </c>
      <c r="D30" s="6"/>
      <c r="E30" s="6">
        <v>1500.0</v>
      </c>
    </row>
    <row r="31" ht="14.25" customHeight="1">
      <c r="B31" s="34">
        <v>46054.0</v>
      </c>
      <c r="C31" s="9" t="s">
        <v>12</v>
      </c>
      <c r="D31" s="6"/>
      <c r="E31" s="8">
        <v>750.0</v>
      </c>
    </row>
    <row r="32" ht="14.25" customHeight="1">
      <c r="B32" s="34">
        <v>46054.0</v>
      </c>
      <c r="C32" s="9" t="s">
        <v>211</v>
      </c>
      <c r="D32" s="6"/>
      <c r="E32" s="8">
        <v>500.0</v>
      </c>
    </row>
    <row r="33" ht="14.25" customHeight="1">
      <c r="B33" s="34">
        <v>46063.0</v>
      </c>
      <c r="C33" s="9" t="s">
        <v>234</v>
      </c>
      <c r="D33" s="6"/>
      <c r="E33" s="8">
        <v>500.0</v>
      </c>
    </row>
    <row r="34" ht="14.25" customHeight="1">
      <c r="B34" s="34">
        <v>45708.0</v>
      </c>
      <c r="C34" s="9" t="s">
        <v>33</v>
      </c>
      <c r="D34" s="6"/>
      <c r="E34" s="8">
        <v>600.0</v>
      </c>
    </row>
    <row r="35" ht="14.25" customHeight="1">
      <c r="B35" s="19"/>
      <c r="C35" s="5"/>
      <c r="D35" s="6"/>
      <c r="E35" s="6"/>
    </row>
    <row r="36" ht="14.25" customHeight="1">
      <c r="B36" s="5"/>
      <c r="C36" s="17" t="s">
        <v>94</v>
      </c>
      <c r="D36" s="6"/>
      <c r="E36" s="20">
        <f>sum(E29:E34)</f>
        <v>3850</v>
      </c>
    </row>
    <row r="37" ht="14.25" customHeight="1">
      <c r="B37" s="5"/>
      <c r="C37" s="17"/>
      <c r="D37" s="6"/>
      <c r="E37" s="20"/>
    </row>
    <row r="38" ht="14.25" customHeight="1">
      <c r="B38" s="24"/>
      <c r="C38" s="17" t="s">
        <v>95</v>
      </c>
      <c r="D38" s="20">
        <f>E26+E27-E36</f>
        <v>5757</v>
      </c>
      <c r="E38" s="20"/>
    </row>
    <row r="39" ht="14.25" customHeight="1">
      <c r="B39" s="5"/>
      <c r="C39" s="5"/>
      <c r="D39" s="6"/>
      <c r="E39" s="6"/>
    </row>
    <row r="40" ht="14.25" customHeight="1">
      <c r="B40" s="41">
        <v>46081.0</v>
      </c>
      <c r="C40" s="17" t="s">
        <v>96</v>
      </c>
      <c r="D40" s="20">
        <f>D23</f>
        <v>203680.7</v>
      </c>
      <c r="E40" s="6"/>
    </row>
    <row r="41" ht="14.25" customHeight="1">
      <c r="B41" s="41">
        <v>46081.0</v>
      </c>
      <c r="C41" s="17" t="s">
        <v>97</v>
      </c>
      <c r="D41" s="20">
        <f>D40</f>
        <v>203680.7</v>
      </c>
      <c r="E41" s="6"/>
    </row>
    <row r="42" ht="14.25" customHeight="1"/>
    <row r="43">
      <c r="C43" s="42"/>
    </row>
    <row r="44" ht="14.25" customHeight="1">
      <c r="C44" s="28"/>
    </row>
    <row r="45" ht="14.25" customHeight="1"/>
    <row r="46" ht="14.25" customHeight="1"/>
    <row r="47" ht="14.25" customHeight="1">
      <c r="E47" s="26" t="s">
        <v>98</v>
      </c>
    </row>
    <row r="48" ht="14.25" customHeight="1"/>
    <row r="49" ht="14.25" customHeight="1"/>
    <row r="50" ht="14.25" customHeight="1">
      <c r="C50" s="51"/>
      <c r="D50" s="52"/>
      <c r="E50" s="52"/>
    </row>
    <row r="51" ht="14.25" customHeight="1">
      <c r="C51" s="48"/>
      <c r="D51" s="28"/>
      <c r="E51" s="52"/>
    </row>
    <row r="52" ht="14.25" customHeight="1">
      <c r="C52" s="48"/>
      <c r="D52" s="28"/>
      <c r="E52" s="52"/>
    </row>
    <row r="53" ht="14.25" customHeight="1">
      <c r="D53" s="23"/>
    </row>
    <row r="54" ht="14.25" customHeight="1">
      <c r="B54" s="53"/>
      <c r="C54" s="54"/>
      <c r="D54" s="54"/>
    </row>
    <row r="55" ht="14.25" customHeight="1">
      <c r="B55" s="53"/>
      <c r="C55" s="54"/>
      <c r="D55" s="54"/>
    </row>
    <row r="56" ht="14.25" customHeight="1">
      <c r="B56" s="53"/>
      <c r="C56" s="10"/>
      <c r="D56" s="10"/>
    </row>
    <row r="57" ht="14.25" customHeight="1">
      <c r="B57" s="53"/>
      <c r="C57" s="54"/>
      <c r="D57" s="54"/>
    </row>
    <row r="58" ht="14.25" customHeight="1">
      <c r="B58" s="53"/>
      <c r="C58" s="10"/>
      <c r="D58" s="10"/>
    </row>
    <row r="59" ht="14.25" customHeight="1">
      <c r="B59" s="53"/>
      <c r="C59" s="10"/>
      <c r="D59" s="10"/>
    </row>
    <row r="60" ht="14.25" customHeight="1"/>
    <row r="61" ht="14.25" customHeight="1">
      <c r="B61" s="55"/>
      <c r="C61" s="10"/>
      <c r="D61" s="10"/>
    </row>
    <row r="62" ht="14.25" customHeight="1">
      <c r="F62" s="50"/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mergeCells count="3">
    <mergeCell ref="B2:E2"/>
    <mergeCell ref="B3:E3"/>
    <mergeCell ref="C43:D43"/>
  </mergeCells>
  <printOptions/>
  <pageMargins bottom="0.75" footer="0.0" header="0.0" left="0.7" right="0.7" top="0.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0"/>
    <col customWidth="1" min="3" max="3" width="37.29"/>
    <col customWidth="1" min="4" max="4" width="25.29"/>
    <col customWidth="1" min="5" max="5" width="17.0"/>
    <col customWidth="1" min="6" max="26" width="8.71"/>
  </cols>
  <sheetData>
    <row r="1" ht="14.25" customHeight="1"/>
    <row r="2">
      <c r="B2" s="13" t="s">
        <v>76</v>
      </c>
      <c r="C2" s="14"/>
      <c r="D2" s="14"/>
      <c r="E2" s="15"/>
    </row>
    <row r="3">
      <c r="B3" s="38" t="s">
        <v>235</v>
      </c>
      <c r="C3" s="14"/>
      <c r="D3" s="14"/>
      <c r="E3" s="15"/>
    </row>
    <row r="4" ht="14.25" customHeight="1">
      <c r="B4" s="17" t="s">
        <v>78</v>
      </c>
      <c r="C4" s="17" t="s">
        <v>79</v>
      </c>
      <c r="D4" s="18" t="s">
        <v>80</v>
      </c>
      <c r="E4" s="18" t="s">
        <v>81</v>
      </c>
    </row>
    <row r="5" ht="14.25" customHeight="1">
      <c r="B5" s="39">
        <v>46082.0</v>
      </c>
      <c r="C5" s="17" t="s">
        <v>82</v>
      </c>
      <c r="D5" s="20">
        <v>138805.7</v>
      </c>
      <c r="E5" s="6"/>
    </row>
    <row r="6" ht="14.25" customHeight="1">
      <c r="B6" s="21"/>
      <c r="C6" s="5" t="s">
        <v>83</v>
      </c>
      <c r="D6" s="6">
        <v>0.0</v>
      </c>
      <c r="E6" s="6"/>
    </row>
    <row r="7" ht="14.25" customHeight="1">
      <c r="B7" s="21"/>
      <c r="C7" s="5" t="s">
        <v>84</v>
      </c>
      <c r="D7" s="6">
        <f>D5-D6</f>
        <v>138805.7</v>
      </c>
      <c r="E7" s="6"/>
    </row>
    <row r="8" ht="14.25" customHeight="1">
      <c r="B8" s="21"/>
      <c r="C8" s="5"/>
      <c r="D8" s="6"/>
      <c r="E8" s="6"/>
    </row>
    <row r="9" ht="14.25" customHeight="1">
      <c r="B9" s="21"/>
      <c r="C9" s="17" t="s">
        <v>85</v>
      </c>
      <c r="D9" s="6"/>
      <c r="E9" s="6"/>
    </row>
    <row r="10" ht="14.25" customHeight="1">
      <c r="B10" s="21"/>
      <c r="C10" s="5" t="s">
        <v>5</v>
      </c>
      <c r="D10" s="8">
        <v>60000.0</v>
      </c>
      <c r="E10" s="6"/>
    </row>
    <row r="11" ht="14.25" customHeight="1">
      <c r="B11" s="43"/>
      <c r="C11" s="9"/>
      <c r="D11" s="8"/>
      <c r="E11" s="6"/>
    </row>
    <row r="12" ht="14.25" customHeight="1">
      <c r="B12" s="21"/>
      <c r="C12" s="17" t="s">
        <v>86</v>
      </c>
      <c r="D12" s="20">
        <f>SUM(D10,D11)</f>
        <v>60000</v>
      </c>
      <c r="E12" s="6"/>
    </row>
    <row r="13" ht="14.25" customHeight="1">
      <c r="B13" s="21"/>
      <c r="C13" s="17" t="s">
        <v>87</v>
      </c>
      <c r="D13" s="20">
        <f>D5+D12</f>
        <v>198805.7</v>
      </c>
      <c r="E13" s="6"/>
    </row>
    <row r="14" ht="14.25" customHeight="1">
      <c r="B14" s="21"/>
      <c r="C14" s="5"/>
      <c r="D14" s="6"/>
      <c r="E14" s="6"/>
    </row>
    <row r="15" ht="14.25" customHeight="1">
      <c r="B15" s="34"/>
      <c r="C15" s="17" t="s">
        <v>88</v>
      </c>
      <c r="D15" s="6"/>
      <c r="E15" s="6"/>
    </row>
    <row r="16" ht="14.25" customHeight="1">
      <c r="B16" s="34">
        <v>46087.0</v>
      </c>
      <c r="C16" s="5" t="s">
        <v>8</v>
      </c>
      <c r="D16" s="6"/>
      <c r="E16" s="8">
        <v>16000.0</v>
      </c>
    </row>
    <row r="17" ht="14.25" customHeight="1">
      <c r="B17" s="34">
        <v>46091.0</v>
      </c>
      <c r="C17" s="5" t="s">
        <v>25</v>
      </c>
      <c r="D17" s="6"/>
      <c r="E17" s="8">
        <v>29000.0</v>
      </c>
    </row>
    <row r="18" ht="14.25" customHeight="1">
      <c r="B18" s="4" t="s">
        <v>236</v>
      </c>
      <c r="C18" s="5" t="s">
        <v>9</v>
      </c>
      <c r="D18" s="6"/>
      <c r="E18" s="8">
        <v>10670.0</v>
      </c>
    </row>
    <row r="19" ht="14.25" customHeight="1">
      <c r="B19" s="4" t="s">
        <v>236</v>
      </c>
      <c r="C19" s="9" t="s">
        <v>31</v>
      </c>
      <c r="D19" s="6"/>
      <c r="E19" s="8">
        <v>10125.0</v>
      </c>
    </row>
    <row r="20" ht="14.25" customHeight="1">
      <c r="B20" s="34"/>
      <c r="C20" s="9"/>
      <c r="D20" s="6"/>
      <c r="E20" s="8"/>
    </row>
    <row r="21" ht="14.25" customHeight="1">
      <c r="B21" s="21"/>
      <c r="C21" s="17"/>
      <c r="D21" s="6"/>
      <c r="E21" s="20"/>
    </row>
    <row r="22" ht="14.25" customHeight="1">
      <c r="B22" s="21"/>
      <c r="C22" s="17" t="s">
        <v>89</v>
      </c>
      <c r="D22" s="6"/>
      <c r="E22" s="20">
        <f>SUM(E16:E20)</f>
        <v>65795</v>
      </c>
    </row>
    <row r="23" ht="14.25" customHeight="1">
      <c r="B23" s="29"/>
      <c r="C23" s="17" t="s">
        <v>90</v>
      </c>
      <c r="D23" s="20">
        <f>D13-E22</f>
        <v>133010.7</v>
      </c>
      <c r="E23" s="6"/>
    </row>
    <row r="24" ht="14.25" customHeight="1">
      <c r="B24" s="21"/>
      <c r="C24" s="17"/>
      <c r="D24" s="20"/>
      <c r="E24" s="6"/>
    </row>
    <row r="25" ht="14.25" customHeight="1">
      <c r="B25" s="21"/>
      <c r="C25" s="17" t="s">
        <v>91</v>
      </c>
      <c r="D25" s="6"/>
      <c r="E25" s="20"/>
    </row>
    <row r="26" ht="14.25" customHeight="1">
      <c r="B26" s="21"/>
      <c r="C26" s="40" t="s">
        <v>232</v>
      </c>
      <c r="D26" s="6"/>
      <c r="E26" s="8">
        <v>0.0</v>
      </c>
    </row>
    <row r="27" ht="14.25" customHeight="1">
      <c r="B27" s="21"/>
      <c r="C27" s="40" t="s">
        <v>233</v>
      </c>
      <c r="D27" s="6"/>
      <c r="E27" s="20">
        <v>9607.0</v>
      </c>
    </row>
    <row r="28" ht="14.25" customHeight="1">
      <c r="B28" s="19"/>
      <c r="C28" s="5"/>
      <c r="D28" s="6"/>
      <c r="E28" s="6"/>
      <c r="K28" s="22"/>
    </row>
    <row r="29" ht="14.25" customHeight="1">
      <c r="B29" s="34"/>
      <c r="C29" s="5"/>
      <c r="D29" s="6"/>
      <c r="E29" s="8"/>
      <c r="K29" s="22"/>
    </row>
    <row r="30" ht="14.25" customHeight="1">
      <c r="B30" s="4" t="s">
        <v>236</v>
      </c>
      <c r="C30" s="5" t="s">
        <v>11</v>
      </c>
      <c r="D30" s="6"/>
      <c r="E30" s="6">
        <v>1500.0</v>
      </c>
    </row>
    <row r="31" ht="14.25" customHeight="1">
      <c r="B31" s="4" t="s">
        <v>236</v>
      </c>
      <c r="C31" s="9" t="s">
        <v>12</v>
      </c>
      <c r="D31" s="6"/>
      <c r="E31" s="8">
        <v>750.0</v>
      </c>
    </row>
    <row r="32" ht="14.25" customHeight="1">
      <c r="B32" s="4" t="s">
        <v>236</v>
      </c>
      <c r="C32" s="9" t="s">
        <v>211</v>
      </c>
      <c r="D32" s="6"/>
      <c r="E32" s="8">
        <v>500.0</v>
      </c>
    </row>
    <row r="33" ht="14.25" customHeight="1">
      <c r="B33" s="34"/>
      <c r="C33" s="9"/>
      <c r="D33" s="6"/>
      <c r="E33" s="8"/>
    </row>
    <row r="34" ht="14.25" customHeight="1">
      <c r="B34" s="34"/>
      <c r="C34" s="9"/>
      <c r="D34" s="6"/>
      <c r="E34" s="8"/>
    </row>
    <row r="35" ht="14.25" customHeight="1">
      <c r="B35" s="19"/>
      <c r="C35" s="5"/>
      <c r="D35" s="6"/>
      <c r="E35" s="6"/>
    </row>
    <row r="36" ht="14.25" customHeight="1">
      <c r="B36" s="5"/>
      <c r="C36" s="17" t="s">
        <v>94</v>
      </c>
      <c r="D36" s="6"/>
      <c r="E36" s="20">
        <f>sum(E29:E34)</f>
        <v>2750</v>
      </c>
    </row>
    <row r="37" ht="14.25" customHeight="1">
      <c r="B37" s="5"/>
      <c r="C37" s="17"/>
      <c r="D37" s="6"/>
      <c r="E37" s="20"/>
    </row>
    <row r="38" ht="14.25" customHeight="1">
      <c r="B38" s="24"/>
      <c r="C38" s="17" t="s">
        <v>95</v>
      </c>
      <c r="D38" s="20">
        <f>E26+E27-E36</f>
        <v>6857</v>
      </c>
      <c r="E38" s="20"/>
    </row>
    <row r="39" ht="14.25" customHeight="1">
      <c r="B39" s="5"/>
      <c r="C39" s="5"/>
      <c r="D39" s="6"/>
      <c r="E39" s="6"/>
    </row>
    <row r="40" ht="14.25" customHeight="1">
      <c r="B40" s="41">
        <v>46081.0</v>
      </c>
      <c r="C40" s="17" t="s">
        <v>96</v>
      </c>
      <c r="D40" s="20">
        <f>D23</f>
        <v>133010.7</v>
      </c>
      <c r="E40" s="6"/>
    </row>
    <row r="41" ht="14.25" customHeight="1">
      <c r="B41" s="41">
        <v>46081.0</v>
      </c>
      <c r="C41" s="17" t="s">
        <v>97</v>
      </c>
      <c r="D41" s="20">
        <f>D40</f>
        <v>133010.7</v>
      </c>
      <c r="E41" s="6"/>
    </row>
    <row r="42" ht="14.25" customHeight="1"/>
    <row r="43">
      <c r="C43" s="42"/>
    </row>
    <row r="44" ht="14.25" customHeight="1">
      <c r="C44" s="28"/>
    </row>
    <row r="45" ht="14.25" customHeight="1"/>
    <row r="46" ht="14.25" customHeight="1"/>
    <row r="47" ht="14.25" customHeight="1">
      <c r="E47" s="26" t="s">
        <v>98</v>
      </c>
    </row>
    <row r="48" ht="14.25" customHeight="1"/>
    <row r="49" ht="14.25" customHeight="1"/>
    <row r="50" ht="14.25" customHeight="1">
      <c r="C50" s="51"/>
      <c r="D50" s="52"/>
      <c r="E50" s="52"/>
    </row>
    <row r="51" ht="14.25" customHeight="1">
      <c r="C51" s="48"/>
      <c r="D51" s="28"/>
      <c r="E51" s="52"/>
    </row>
    <row r="52" ht="14.25" customHeight="1">
      <c r="C52" s="48"/>
      <c r="D52" s="28"/>
      <c r="E52" s="52"/>
    </row>
    <row r="53" ht="14.25" customHeight="1">
      <c r="D53" s="23"/>
    </row>
    <row r="54" ht="14.25" customHeight="1">
      <c r="B54" s="53"/>
      <c r="C54" s="54"/>
      <c r="D54" s="54"/>
    </row>
    <row r="55" ht="14.25" customHeight="1">
      <c r="B55" s="53"/>
      <c r="C55" s="54"/>
      <c r="D55" s="54"/>
    </row>
    <row r="56" ht="14.25" customHeight="1">
      <c r="B56" s="53"/>
      <c r="C56" s="10"/>
      <c r="D56" s="10"/>
    </row>
    <row r="57" ht="14.25" customHeight="1">
      <c r="B57" s="53"/>
      <c r="C57" s="54"/>
      <c r="D57" s="54"/>
    </row>
    <row r="58" ht="14.25" customHeight="1">
      <c r="B58" s="53"/>
      <c r="C58" s="10"/>
      <c r="D58" s="10"/>
    </row>
    <row r="59" ht="14.25" customHeight="1">
      <c r="B59" s="53"/>
      <c r="C59" s="10"/>
      <c r="D59" s="10"/>
    </row>
    <row r="60" ht="14.25" customHeight="1"/>
    <row r="61" ht="14.25" customHeight="1">
      <c r="B61" s="55"/>
      <c r="C61" s="10"/>
      <c r="D61" s="10"/>
    </row>
    <row r="62" ht="14.25" customHeight="1">
      <c r="F62" s="50"/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mergeCells count="3">
    <mergeCell ref="B2:E2"/>
    <mergeCell ref="B3:E3"/>
    <mergeCell ref="C43:D43"/>
  </mergeCells>
  <printOptions/>
  <pageMargins bottom="0.75" footer="0.0" header="0.0" left="0.7" right="0.7" top="0.75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5.29"/>
  </cols>
  <sheetData>
    <row r="1">
      <c r="A1" s="60" t="s">
        <v>61</v>
      </c>
      <c r="B1" s="61" t="s">
        <v>237</v>
      </c>
      <c r="C1" s="62" t="s">
        <v>2</v>
      </c>
      <c r="D1" s="62" t="s">
        <v>238</v>
      </c>
      <c r="E1" s="11" t="s">
        <v>239</v>
      </c>
      <c r="F1" s="11" t="s">
        <v>239</v>
      </c>
      <c r="G1" s="11" t="s">
        <v>239</v>
      </c>
      <c r="H1" s="11" t="s">
        <v>239</v>
      </c>
      <c r="I1" s="11" t="s">
        <v>239</v>
      </c>
      <c r="J1" s="11" t="s">
        <v>239</v>
      </c>
      <c r="K1" s="11" t="s">
        <v>239</v>
      </c>
      <c r="L1" s="11" t="s">
        <v>239</v>
      </c>
      <c r="M1" s="11" t="s">
        <v>239</v>
      </c>
      <c r="N1" s="11" t="s">
        <v>239</v>
      </c>
      <c r="O1" s="11" t="s">
        <v>239</v>
      </c>
      <c r="P1" s="11" t="s">
        <v>239</v>
      </c>
      <c r="Q1" s="11" t="s">
        <v>239</v>
      </c>
      <c r="R1" s="11" t="s">
        <v>239</v>
      </c>
      <c r="S1" s="11" t="s">
        <v>239</v>
      </c>
      <c r="T1" s="11" t="s">
        <v>239</v>
      </c>
      <c r="U1" s="11" t="s">
        <v>239</v>
      </c>
      <c r="V1" s="11" t="s">
        <v>239</v>
      </c>
      <c r="W1" s="11" t="s">
        <v>239</v>
      </c>
      <c r="X1" s="11" t="s">
        <v>239</v>
      </c>
      <c r="Y1" s="11" t="s">
        <v>239</v>
      </c>
      <c r="Z1" s="11" t="s">
        <v>239</v>
      </c>
    </row>
    <row r="2">
      <c r="A2" s="4" t="s">
        <v>240</v>
      </c>
      <c r="B2" s="9" t="s">
        <v>241</v>
      </c>
      <c r="C2" s="6"/>
      <c r="D2" s="8">
        <v>6800.0</v>
      </c>
    </row>
    <row r="3">
      <c r="A3" s="4" t="s">
        <v>4</v>
      </c>
      <c r="B3" s="5" t="s">
        <v>12</v>
      </c>
      <c r="C3" s="6"/>
      <c r="D3" s="6">
        <v>500.0</v>
      </c>
    </row>
    <row r="4">
      <c r="A4" s="4" t="s">
        <v>16</v>
      </c>
      <c r="B4" s="5" t="s">
        <v>12</v>
      </c>
      <c r="C4" s="6"/>
      <c r="D4" s="6">
        <v>500.0</v>
      </c>
    </row>
    <row r="5">
      <c r="A5" s="4" t="s">
        <v>24</v>
      </c>
      <c r="B5" s="9" t="s">
        <v>12</v>
      </c>
      <c r="C5" s="6"/>
      <c r="D5" s="8">
        <v>500.0</v>
      </c>
    </row>
    <row r="6">
      <c r="A6" s="4" t="s">
        <v>27</v>
      </c>
      <c r="B6" s="9" t="s">
        <v>12</v>
      </c>
      <c r="C6" s="6"/>
      <c r="D6" s="8">
        <v>500.0</v>
      </c>
    </row>
    <row r="7">
      <c r="A7" s="4" t="s">
        <v>242</v>
      </c>
      <c r="B7" s="9" t="s">
        <v>12</v>
      </c>
      <c r="C7" s="6"/>
      <c r="D7" s="8">
        <v>500.0</v>
      </c>
    </row>
    <row r="8">
      <c r="A8" s="4" t="s">
        <v>243</v>
      </c>
      <c r="B8" s="9" t="s">
        <v>12</v>
      </c>
      <c r="C8" s="6"/>
      <c r="D8" s="8">
        <v>500.0</v>
      </c>
    </row>
    <row r="9">
      <c r="A9" s="4" t="s">
        <v>240</v>
      </c>
      <c r="B9" s="9" t="s">
        <v>12</v>
      </c>
      <c r="C9" s="6"/>
      <c r="D9" s="8">
        <v>500.0</v>
      </c>
    </row>
    <row r="10">
      <c r="A10" s="4" t="s">
        <v>244</v>
      </c>
      <c r="B10" s="9" t="s">
        <v>12</v>
      </c>
      <c r="C10" s="6"/>
      <c r="D10" s="8">
        <v>750.0</v>
      </c>
    </row>
    <row r="11">
      <c r="A11" s="4" t="s">
        <v>245</v>
      </c>
      <c r="B11" s="9" t="s">
        <v>12</v>
      </c>
      <c r="C11" s="6"/>
      <c r="D11" s="8">
        <v>750.0</v>
      </c>
    </row>
    <row r="12">
      <c r="A12" s="4" t="s">
        <v>246</v>
      </c>
      <c r="B12" s="9" t="s">
        <v>12</v>
      </c>
      <c r="C12" s="6"/>
      <c r="D12" s="8">
        <v>750.0</v>
      </c>
    </row>
    <row r="13">
      <c r="A13" s="4" t="s">
        <v>247</v>
      </c>
      <c r="B13" s="9" t="s">
        <v>12</v>
      </c>
      <c r="C13" s="6"/>
      <c r="D13" s="8">
        <v>750.0</v>
      </c>
    </row>
    <row r="14">
      <c r="A14" s="4" t="s">
        <v>236</v>
      </c>
      <c r="B14" s="9" t="s">
        <v>12</v>
      </c>
      <c r="C14" s="6"/>
      <c r="D14" s="8">
        <v>750.0</v>
      </c>
    </row>
    <row r="15">
      <c r="A15" s="4" t="s">
        <v>244</v>
      </c>
      <c r="B15" s="9" t="s">
        <v>211</v>
      </c>
      <c r="C15" s="6"/>
      <c r="D15" s="8">
        <v>500.0</v>
      </c>
    </row>
    <row r="16">
      <c r="A16" s="4" t="s">
        <v>245</v>
      </c>
      <c r="B16" s="9" t="s">
        <v>211</v>
      </c>
      <c r="C16" s="6"/>
      <c r="D16" s="8">
        <v>500.0</v>
      </c>
    </row>
    <row r="17">
      <c r="A17" s="4" t="s">
        <v>246</v>
      </c>
      <c r="B17" s="9" t="s">
        <v>211</v>
      </c>
      <c r="C17" s="6"/>
      <c r="D17" s="8">
        <v>500.0</v>
      </c>
    </row>
    <row r="18">
      <c r="A18" s="4" t="s">
        <v>247</v>
      </c>
      <c r="B18" s="9" t="s">
        <v>211</v>
      </c>
      <c r="C18" s="6"/>
      <c r="D18" s="8">
        <v>500.0</v>
      </c>
    </row>
    <row r="19">
      <c r="A19" s="4" t="s">
        <v>236</v>
      </c>
      <c r="B19" s="9" t="s">
        <v>211</v>
      </c>
      <c r="C19" s="6"/>
      <c r="D19" s="8">
        <v>500.0</v>
      </c>
    </row>
    <row r="20">
      <c r="A20" s="4" t="s">
        <v>4</v>
      </c>
      <c r="B20" s="9" t="s">
        <v>248</v>
      </c>
      <c r="C20" s="6"/>
      <c r="D20" s="8">
        <f>3750+1700</f>
        <v>5450</v>
      </c>
    </row>
    <row r="21">
      <c r="A21" s="4" t="s">
        <v>243</v>
      </c>
      <c r="B21" s="9" t="s">
        <v>249</v>
      </c>
      <c r="C21" s="63">
        <v>1473.0</v>
      </c>
      <c r="D21" s="6"/>
    </row>
    <row r="22">
      <c r="A22" s="4" t="s">
        <v>245</v>
      </c>
      <c r="B22" s="9" t="s">
        <v>249</v>
      </c>
      <c r="C22" s="8">
        <v>1398.0</v>
      </c>
      <c r="D22" s="6"/>
    </row>
    <row r="23">
      <c r="A23" s="4" t="s">
        <v>4</v>
      </c>
      <c r="B23" s="9" t="s">
        <v>249</v>
      </c>
      <c r="C23" s="36"/>
      <c r="D23" s="37">
        <v>11.8</v>
      </c>
    </row>
    <row r="24">
      <c r="A24" s="4" t="s">
        <v>4</v>
      </c>
      <c r="B24" s="9" t="s">
        <v>160</v>
      </c>
      <c r="C24" s="6"/>
      <c r="D24" s="8">
        <v>23306.0</v>
      </c>
    </row>
    <row r="25">
      <c r="A25" s="4" t="s">
        <v>247</v>
      </c>
      <c r="B25" s="9" t="s">
        <v>160</v>
      </c>
      <c r="C25" s="6"/>
      <c r="D25" s="8">
        <v>177000.0</v>
      </c>
    </row>
    <row r="26">
      <c r="A26" s="9" t="s">
        <v>240</v>
      </c>
      <c r="B26" s="9" t="s">
        <v>250</v>
      </c>
      <c r="C26" s="6"/>
      <c r="D26" s="8">
        <v>14000.0</v>
      </c>
    </row>
    <row r="27">
      <c r="A27" s="4" t="s">
        <v>244</v>
      </c>
      <c r="B27" s="9" t="s">
        <v>31</v>
      </c>
      <c r="C27" s="6"/>
      <c r="D27" s="8">
        <v>10400.0</v>
      </c>
    </row>
    <row r="28">
      <c r="A28" s="4" t="s">
        <v>245</v>
      </c>
      <c r="B28" s="9" t="s">
        <v>31</v>
      </c>
      <c r="C28" s="6"/>
      <c r="D28" s="8">
        <f>11548+10365</f>
        <v>21913</v>
      </c>
    </row>
    <row r="29">
      <c r="A29" s="4" t="s">
        <v>4</v>
      </c>
      <c r="B29" s="9" t="s">
        <v>31</v>
      </c>
      <c r="C29" s="6"/>
      <c r="D29" s="8">
        <v>8278.0</v>
      </c>
    </row>
    <row r="30">
      <c r="A30" s="4" t="s">
        <v>16</v>
      </c>
      <c r="B30" s="9" t="s">
        <v>31</v>
      </c>
      <c r="C30" s="6"/>
      <c r="D30" s="8">
        <v>9950.0</v>
      </c>
    </row>
    <row r="31">
      <c r="A31" s="4" t="s">
        <v>24</v>
      </c>
      <c r="B31" s="9" t="s">
        <v>31</v>
      </c>
      <c r="C31" s="6"/>
      <c r="D31" s="8">
        <v>10250.0</v>
      </c>
    </row>
    <row r="32">
      <c r="A32" s="4" t="s">
        <v>27</v>
      </c>
      <c r="B32" s="9" t="s">
        <v>31</v>
      </c>
      <c r="C32" s="6"/>
      <c r="D32" s="8">
        <v>10625.0</v>
      </c>
    </row>
    <row r="33">
      <c r="A33" s="4" t="s">
        <v>242</v>
      </c>
      <c r="B33" s="9" t="s">
        <v>31</v>
      </c>
      <c r="C33" s="6"/>
      <c r="D33" s="8">
        <v>9950.0</v>
      </c>
    </row>
    <row r="34">
      <c r="A34" s="4" t="s">
        <v>243</v>
      </c>
      <c r="B34" s="9" t="s">
        <v>31</v>
      </c>
      <c r="C34" s="6"/>
      <c r="D34" s="8">
        <v>11300.0</v>
      </c>
    </row>
    <row r="35">
      <c r="A35" s="4" t="s">
        <v>246</v>
      </c>
      <c r="B35" s="9" t="s">
        <v>31</v>
      </c>
      <c r="C35" s="6"/>
      <c r="D35" s="8">
        <v>10225.0</v>
      </c>
    </row>
    <row r="36">
      <c r="A36" s="4" t="s">
        <v>247</v>
      </c>
      <c r="B36" s="9" t="s">
        <v>31</v>
      </c>
      <c r="C36" s="6"/>
      <c r="D36" s="8">
        <v>10125.0</v>
      </c>
    </row>
    <row r="37">
      <c r="A37" s="4" t="s">
        <v>236</v>
      </c>
      <c r="B37" s="9" t="s">
        <v>31</v>
      </c>
      <c r="C37" s="6"/>
      <c r="D37" s="8">
        <v>10125.0</v>
      </c>
    </row>
    <row r="38">
      <c r="A38" s="4" t="s">
        <v>16</v>
      </c>
      <c r="B38" s="9" t="s">
        <v>33</v>
      </c>
      <c r="C38" s="6"/>
      <c r="D38" s="8">
        <v>840.0</v>
      </c>
    </row>
    <row r="39">
      <c r="A39" s="4" t="s">
        <v>27</v>
      </c>
      <c r="B39" s="9" t="s">
        <v>33</v>
      </c>
      <c r="C39" s="6"/>
      <c r="D39" s="8">
        <v>375.0</v>
      </c>
    </row>
    <row r="40">
      <c r="A40" s="4" t="s">
        <v>247</v>
      </c>
      <c r="B40" s="9" t="s">
        <v>33</v>
      </c>
      <c r="C40" s="6"/>
      <c r="D40" s="8">
        <v>600.0</v>
      </c>
    </row>
    <row r="41">
      <c r="A41" s="4" t="s">
        <v>245</v>
      </c>
      <c r="B41" s="9" t="s">
        <v>33</v>
      </c>
      <c r="C41" s="6"/>
      <c r="D41" s="8">
        <v>580.0</v>
      </c>
    </row>
    <row r="42">
      <c r="A42" s="4" t="s">
        <v>4</v>
      </c>
      <c r="B42" s="9" t="s">
        <v>22</v>
      </c>
      <c r="C42" s="6"/>
      <c r="D42" s="8">
        <v>1000.0</v>
      </c>
    </row>
    <row r="43">
      <c r="A43" s="4" t="s">
        <v>24</v>
      </c>
      <c r="B43" s="5" t="s">
        <v>22</v>
      </c>
      <c r="C43" s="6"/>
      <c r="D43" s="8">
        <v>1000.0</v>
      </c>
    </row>
    <row r="44">
      <c r="A44" s="4" t="s">
        <v>27</v>
      </c>
      <c r="B44" s="5" t="s">
        <v>22</v>
      </c>
      <c r="C44" s="6"/>
      <c r="D44" s="8">
        <v>1000.0</v>
      </c>
    </row>
    <row r="45">
      <c r="A45" s="4" t="s">
        <v>27</v>
      </c>
      <c r="B45" s="9" t="s">
        <v>22</v>
      </c>
      <c r="C45" s="6"/>
      <c r="D45" s="8">
        <v>1000.0</v>
      </c>
    </row>
    <row r="46">
      <c r="A46" s="4" t="s">
        <v>243</v>
      </c>
      <c r="B46" s="5" t="s">
        <v>22</v>
      </c>
      <c r="C46" s="6"/>
      <c r="D46" s="8">
        <v>1000.0</v>
      </c>
    </row>
    <row r="47">
      <c r="A47" s="9" t="s">
        <v>240</v>
      </c>
      <c r="B47" s="9" t="s">
        <v>22</v>
      </c>
      <c r="C47" s="6"/>
      <c r="D47" s="8">
        <v>1000.0</v>
      </c>
    </row>
    <row r="48">
      <c r="A48" s="4" t="s">
        <v>245</v>
      </c>
      <c r="B48" s="9" t="s">
        <v>22</v>
      </c>
      <c r="C48" s="6"/>
      <c r="D48" s="8">
        <v>1000.0</v>
      </c>
    </row>
    <row r="49">
      <c r="A49" s="4" t="s">
        <v>245</v>
      </c>
      <c r="B49" s="9" t="s">
        <v>251</v>
      </c>
      <c r="C49" s="6"/>
      <c r="D49" s="8">
        <v>16000.0</v>
      </c>
    </row>
    <row r="50">
      <c r="A50" s="4" t="s">
        <v>16</v>
      </c>
      <c r="B50" s="9" t="s">
        <v>251</v>
      </c>
      <c r="C50" s="6"/>
      <c r="D50" s="8">
        <v>2550.0</v>
      </c>
    </row>
    <row r="51">
      <c r="A51" s="4" t="s">
        <v>247</v>
      </c>
      <c r="B51" s="9" t="s">
        <v>231</v>
      </c>
      <c r="C51" s="8">
        <v>215870.0</v>
      </c>
      <c r="D51" s="6"/>
    </row>
    <row r="52">
      <c r="A52" s="9" t="s">
        <v>240</v>
      </c>
      <c r="B52" s="9" t="s">
        <v>252</v>
      </c>
      <c r="C52" s="6"/>
      <c r="D52" s="8">
        <v>3478.0</v>
      </c>
    </row>
    <row r="53">
      <c r="A53" s="4" t="s">
        <v>24</v>
      </c>
      <c r="B53" s="9" t="s">
        <v>253</v>
      </c>
      <c r="C53" s="6"/>
      <c r="D53" s="8">
        <v>280.0</v>
      </c>
    </row>
    <row r="54">
      <c r="A54" s="4" t="s">
        <v>24</v>
      </c>
      <c r="B54" s="9" t="s">
        <v>253</v>
      </c>
      <c r="C54" s="6"/>
      <c r="D54" s="8">
        <v>2300.0</v>
      </c>
    </row>
    <row r="55">
      <c r="A55" s="4" t="s">
        <v>245</v>
      </c>
      <c r="B55" s="9" t="s">
        <v>41</v>
      </c>
      <c r="C55" s="64"/>
      <c r="D55" s="8">
        <v>10030.0</v>
      </c>
    </row>
    <row r="56">
      <c r="A56" s="4" t="s">
        <v>4</v>
      </c>
      <c r="B56" s="5" t="s">
        <v>25</v>
      </c>
      <c r="C56" s="6"/>
      <c r="D56" s="8">
        <v>29000.0</v>
      </c>
    </row>
    <row r="57">
      <c r="A57" s="4" t="s">
        <v>16</v>
      </c>
      <c r="B57" s="5" t="s">
        <v>25</v>
      </c>
      <c r="C57" s="6"/>
      <c r="D57" s="8">
        <v>29000.0</v>
      </c>
    </row>
    <row r="58">
      <c r="A58" s="4" t="s">
        <v>24</v>
      </c>
      <c r="B58" s="5" t="s">
        <v>25</v>
      </c>
      <c r="C58" s="6"/>
      <c r="D58" s="8">
        <v>29000.0</v>
      </c>
    </row>
    <row r="59">
      <c r="A59" s="4" t="s">
        <v>27</v>
      </c>
      <c r="B59" s="5" t="s">
        <v>25</v>
      </c>
      <c r="C59" s="6"/>
      <c r="D59" s="8">
        <v>29000.0</v>
      </c>
    </row>
    <row r="60">
      <c r="A60" s="4" t="s">
        <v>242</v>
      </c>
      <c r="B60" s="5" t="s">
        <v>25</v>
      </c>
      <c r="C60" s="6"/>
      <c r="D60" s="8">
        <v>29000.0</v>
      </c>
    </row>
    <row r="61">
      <c r="A61" s="4" t="s">
        <v>243</v>
      </c>
      <c r="B61" s="5" t="s">
        <v>25</v>
      </c>
      <c r="C61" s="6"/>
      <c r="D61" s="8">
        <v>29000.0</v>
      </c>
    </row>
    <row r="62">
      <c r="A62" s="4" t="s">
        <v>240</v>
      </c>
      <c r="B62" s="5" t="s">
        <v>25</v>
      </c>
      <c r="C62" s="6"/>
      <c r="D62" s="8">
        <v>29000.0</v>
      </c>
    </row>
    <row r="63">
      <c r="A63" s="4" t="s">
        <v>244</v>
      </c>
      <c r="B63" s="5" t="s">
        <v>25</v>
      </c>
      <c r="C63" s="6"/>
      <c r="D63" s="8">
        <v>29000.0</v>
      </c>
    </row>
    <row r="64">
      <c r="A64" s="4" t="s">
        <v>245</v>
      </c>
      <c r="B64" s="5" t="s">
        <v>25</v>
      </c>
      <c r="C64" s="6"/>
      <c r="D64" s="8">
        <v>29000.0</v>
      </c>
    </row>
    <row r="65">
      <c r="A65" s="4" t="s">
        <v>246</v>
      </c>
      <c r="B65" s="5" t="s">
        <v>25</v>
      </c>
      <c r="C65" s="6"/>
      <c r="D65" s="8">
        <v>29000.0</v>
      </c>
    </row>
    <row r="66">
      <c r="A66" s="4" t="s">
        <v>247</v>
      </c>
      <c r="B66" s="5" t="s">
        <v>25</v>
      </c>
      <c r="C66" s="6"/>
      <c r="D66" s="8">
        <v>29000.0</v>
      </c>
    </row>
    <row r="67">
      <c r="A67" s="4" t="s">
        <v>236</v>
      </c>
      <c r="B67" s="5" t="s">
        <v>25</v>
      </c>
      <c r="C67" s="6"/>
      <c r="D67" s="8">
        <v>29000.0</v>
      </c>
    </row>
    <row r="68">
      <c r="A68" s="4" t="s">
        <v>240</v>
      </c>
      <c r="B68" s="9" t="s">
        <v>254</v>
      </c>
      <c r="C68" s="6"/>
      <c r="D68" s="8">
        <v>3000.0</v>
      </c>
    </row>
    <row r="69">
      <c r="A69" s="4" t="s">
        <v>242</v>
      </c>
      <c r="B69" s="9" t="s">
        <v>255</v>
      </c>
      <c r="C69" s="6"/>
      <c r="D69" s="8">
        <v>439.0</v>
      </c>
    </row>
    <row r="70">
      <c r="A70" s="4" t="s">
        <v>4</v>
      </c>
      <c r="B70" s="5" t="s">
        <v>5</v>
      </c>
      <c r="C70" s="8">
        <v>140400.0</v>
      </c>
      <c r="D70" s="6"/>
    </row>
    <row r="71">
      <c r="A71" s="4" t="s">
        <v>16</v>
      </c>
      <c r="B71" s="5" t="s">
        <v>5</v>
      </c>
      <c r="C71" s="8">
        <v>54600.0</v>
      </c>
      <c r="D71" s="6"/>
    </row>
    <row r="72">
      <c r="A72" s="4" t="s">
        <v>24</v>
      </c>
      <c r="B72" s="5" t="s">
        <v>5</v>
      </c>
      <c r="C72" s="8">
        <v>52000.0</v>
      </c>
      <c r="D72" s="6"/>
    </row>
    <row r="73">
      <c r="A73" s="4" t="s">
        <v>27</v>
      </c>
      <c r="B73" s="5" t="s">
        <v>5</v>
      </c>
      <c r="C73" s="8">
        <v>132600.0</v>
      </c>
      <c r="D73" s="6"/>
    </row>
    <row r="74">
      <c r="A74" s="4" t="s">
        <v>242</v>
      </c>
      <c r="B74" s="5" t="s">
        <v>5</v>
      </c>
      <c r="C74" s="8">
        <v>60808.0</v>
      </c>
      <c r="D74" s="6"/>
    </row>
    <row r="75">
      <c r="A75" s="4" t="s">
        <v>243</v>
      </c>
      <c r="B75" s="5" t="s">
        <v>5</v>
      </c>
      <c r="C75" s="45">
        <v>70200.0</v>
      </c>
      <c r="D75" s="6"/>
    </row>
    <row r="76">
      <c r="A76" s="4" t="s">
        <v>240</v>
      </c>
      <c r="B76" s="5" t="s">
        <v>5</v>
      </c>
      <c r="C76" s="8">
        <v>83200.0</v>
      </c>
      <c r="D76" s="6"/>
    </row>
    <row r="77">
      <c r="A77" s="4" t="s">
        <v>244</v>
      </c>
      <c r="B77" s="5" t="s">
        <v>5</v>
      </c>
      <c r="C77" s="8">
        <v>54600.0</v>
      </c>
      <c r="D77" s="6"/>
    </row>
    <row r="78">
      <c r="A78" s="4" t="s">
        <v>245</v>
      </c>
      <c r="B78" s="5" t="s">
        <v>5</v>
      </c>
      <c r="C78" s="8">
        <v>52000.0</v>
      </c>
      <c r="D78" s="6"/>
    </row>
    <row r="79">
      <c r="A79" s="4" t="s">
        <v>246</v>
      </c>
      <c r="B79" s="5" t="s">
        <v>5</v>
      </c>
      <c r="C79" s="8">
        <v>62400.0</v>
      </c>
      <c r="D79" s="6"/>
    </row>
    <row r="80">
      <c r="A80" s="4" t="s">
        <v>247</v>
      </c>
      <c r="B80" s="5" t="s">
        <v>5</v>
      </c>
      <c r="C80" s="8">
        <v>91800.0</v>
      </c>
      <c r="D80" s="6"/>
    </row>
    <row r="81">
      <c r="A81" s="4" t="s">
        <v>236</v>
      </c>
      <c r="B81" s="5" t="s">
        <v>5</v>
      </c>
      <c r="C81" s="8">
        <v>60000.0</v>
      </c>
      <c r="D81" s="6"/>
    </row>
    <row r="82">
      <c r="A82" s="4" t="s">
        <v>4</v>
      </c>
      <c r="B82" s="5" t="s">
        <v>9</v>
      </c>
      <c r="C82" s="6"/>
      <c r="D82" s="8">
        <v>10538.0</v>
      </c>
    </row>
    <row r="83">
      <c r="A83" s="4" t="s">
        <v>16</v>
      </c>
      <c r="B83" s="5" t="s">
        <v>9</v>
      </c>
      <c r="C83" s="6"/>
      <c r="D83" s="8">
        <v>11508.0</v>
      </c>
    </row>
    <row r="84">
      <c r="A84" s="4" t="s">
        <v>24</v>
      </c>
      <c r="B84" s="5" t="s">
        <v>9</v>
      </c>
      <c r="C84" s="6"/>
      <c r="D84" s="8">
        <v>9626.0</v>
      </c>
    </row>
    <row r="85">
      <c r="A85" s="4" t="s">
        <v>27</v>
      </c>
      <c r="B85" s="5" t="s">
        <v>9</v>
      </c>
      <c r="C85" s="6"/>
      <c r="D85" s="8">
        <v>10583.0</v>
      </c>
    </row>
    <row r="86">
      <c r="A86" s="4" t="s">
        <v>242</v>
      </c>
      <c r="B86" s="5" t="s">
        <v>9</v>
      </c>
      <c r="C86" s="6"/>
      <c r="D86" s="8">
        <v>11181.0</v>
      </c>
    </row>
    <row r="87">
      <c r="A87" s="4" t="s">
        <v>243</v>
      </c>
      <c r="B87" s="5" t="s">
        <v>9</v>
      </c>
      <c r="C87" s="6"/>
      <c r="D87" s="8">
        <v>10928.0</v>
      </c>
    </row>
    <row r="88">
      <c r="A88" s="4" t="s">
        <v>240</v>
      </c>
      <c r="B88" s="5" t="s">
        <v>9</v>
      </c>
      <c r="C88" s="6"/>
      <c r="D88" s="8">
        <v>10717.0</v>
      </c>
    </row>
    <row r="89">
      <c r="A89" s="4" t="s">
        <v>244</v>
      </c>
      <c r="B89" s="5" t="s">
        <v>9</v>
      </c>
      <c r="C89" s="6"/>
      <c r="D89" s="8">
        <v>10729.0</v>
      </c>
    </row>
    <row r="90">
      <c r="A90" s="4" t="s">
        <v>245</v>
      </c>
      <c r="B90" s="5" t="s">
        <v>9</v>
      </c>
      <c r="C90" s="6"/>
      <c r="D90" s="8">
        <f>2520+5701+2555</f>
        <v>10776</v>
      </c>
    </row>
    <row r="91">
      <c r="A91" s="4" t="s">
        <v>246</v>
      </c>
      <c r="B91" s="5" t="s">
        <v>9</v>
      </c>
      <c r="C91" s="6"/>
      <c r="D91" s="8">
        <v>11005.0</v>
      </c>
    </row>
    <row r="92">
      <c r="A92" s="4" t="s">
        <v>247</v>
      </c>
      <c r="B92" s="5" t="s">
        <v>9</v>
      </c>
      <c r="C92" s="6"/>
      <c r="D92" s="8">
        <v>10670.0</v>
      </c>
    </row>
    <row r="93">
      <c r="A93" s="4" t="s">
        <v>16</v>
      </c>
      <c r="B93" s="5" t="s">
        <v>9</v>
      </c>
      <c r="C93" s="6"/>
      <c r="D93" s="8">
        <v>2050.0</v>
      </c>
    </row>
    <row r="94">
      <c r="A94" s="4" t="s">
        <v>236</v>
      </c>
      <c r="B94" s="5" t="s">
        <v>9</v>
      </c>
      <c r="C94" s="6"/>
      <c r="D94" s="8">
        <v>10670.0</v>
      </c>
    </row>
    <row r="95">
      <c r="A95" s="4" t="s">
        <v>4</v>
      </c>
      <c r="B95" s="5" t="s">
        <v>8</v>
      </c>
      <c r="C95" s="6"/>
      <c r="D95" s="8">
        <v>15000.0</v>
      </c>
    </row>
    <row r="96">
      <c r="A96" s="4" t="s">
        <v>16</v>
      </c>
      <c r="B96" s="5" t="s">
        <v>8</v>
      </c>
      <c r="C96" s="6"/>
      <c r="D96" s="8">
        <v>15000.0</v>
      </c>
    </row>
    <row r="97">
      <c r="A97" s="4" t="s">
        <v>24</v>
      </c>
      <c r="B97" s="5" t="s">
        <v>8</v>
      </c>
      <c r="C97" s="6"/>
      <c r="D97" s="8">
        <v>15000.0</v>
      </c>
    </row>
    <row r="98">
      <c r="A98" s="4" t="s">
        <v>27</v>
      </c>
      <c r="B98" s="5" t="s">
        <v>8</v>
      </c>
      <c r="C98" s="6"/>
      <c r="D98" s="8">
        <v>15000.0</v>
      </c>
    </row>
    <row r="99">
      <c r="A99" s="4" t="s">
        <v>242</v>
      </c>
      <c r="B99" s="5" t="s">
        <v>8</v>
      </c>
      <c r="C99" s="6"/>
      <c r="D99" s="8">
        <v>15000.0</v>
      </c>
    </row>
    <row r="100">
      <c r="A100" s="4" t="s">
        <v>243</v>
      </c>
      <c r="B100" s="5" t="s">
        <v>8</v>
      </c>
      <c r="C100" s="6"/>
      <c r="D100" s="8">
        <v>15000.0</v>
      </c>
    </row>
    <row r="101">
      <c r="A101" s="4" t="s">
        <v>240</v>
      </c>
      <c r="B101" s="5" t="s">
        <v>8</v>
      </c>
      <c r="C101" s="6"/>
      <c r="D101" s="8">
        <v>15000.0</v>
      </c>
    </row>
    <row r="102">
      <c r="A102" s="4" t="s">
        <v>244</v>
      </c>
      <c r="B102" s="5" t="s">
        <v>8</v>
      </c>
      <c r="C102" s="6"/>
      <c r="D102" s="8">
        <v>16000.0</v>
      </c>
    </row>
    <row r="103">
      <c r="A103" s="4" t="s">
        <v>245</v>
      </c>
      <c r="B103" s="5" t="s">
        <v>8</v>
      </c>
      <c r="C103" s="6"/>
      <c r="D103" s="8">
        <v>16000.0</v>
      </c>
    </row>
    <row r="104">
      <c r="A104" s="4" t="s">
        <v>246</v>
      </c>
      <c r="B104" s="5" t="s">
        <v>8</v>
      </c>
      <c r="C104" s="6"/>
      <c r="D104" s="8">
        <v>16000.0</v>
      </c>
    </row>
    <row r="105">
      <c r="A105" s="4" t="s">
        <v>247</v>
      </c>
      <c r="B105" s="5" t="s">
        <v>8</v>
      </c>
      <c r="C105" s="6"/>
      <c r="D105" s="8">
        <v>16000.0</v>
      </c>
    </row>
    <row r="106">
      <c r="A106" s="4" t="s">
        <v>236</v>
      </c>
      <c r="B106" s="5" t="s">
        <v>8</v>
      </c>
      <c r="C106" s="6"/>
      <c r="D106" s="8">
        <v>16000.0</v>
      </c>
    </row>
    <row r="107">
      <c r="A107" s="4" t="s">
        <v>246</v>
      </c>
      <c r="B107" s="9" t="s">
        <v>212</v>
      </c>
      <c r="C107" s="6"/>
      <c r="D107" s="8">
        <v>1300.0</v>
      </c>
    </row>
    <row r="108">
      <c r="A108" s="4" t="s">
        <v>242</v>
      </c>
      <c r="B108" s="9" t="s">
        <v>212</v>
      </c>
      <c r="C108" s="6"/>
      <c r="D108" s="8">
        <v>1400.0</v>
      </c>
    </row>
    <row r="109">
      <c r="A109" s="4" t="s">
        <v>247</v>
      </c>
      <c r="B109" s="9" t="s">
        <v>212</v>
      </c>
      <c r="C109" s="6"/>
      <c r="D109" s="8">
        <v>500.0</v>
      </c>
    </row>
    <row r="110">
      <c r="A110" s="4" t="s">
        <v>244</v>
      </c>
      <c r="B110" s="9" t="s">
        <v>212</v>
      </c>
      <c r="C110" s="6"/>
      <c r="D110" s="8">
        <v>500.0</v>
      </c>
    </row>
    <row r="111">
      <c r="A111" s="4" t="s">
        <v>245</v>
      </c>
      <c r="B111" s="9" t="s">
        <v>223</v>
      </c>
      <c r="C111" s="6"/>
      <c r="D111" s="8">
        <v>4550.0</v>
      </c>
    </row>
    <row r="112">
      <c r="A112" s="4" t="s">
        <v>4</v>
      </c>
      <c r="B112" s="5" t="s">
        <v>11</v>
      </c>
      <c r="C112" s="6"/>
      <c r="D112" s="6">
        <v>1500.0</v>
      </c>
    </row>
    <row r="113">
      <c r="A113" s="4" t="s">
        <v>16</v>
      </c>
      <c r="B113" s="5" t="s">
        <v>11</v>
      </c>
      <c r="C113" s="6"/>
      <c r="D113" s="6">
        <v>1500.0</v>
      </c>
    </row>
    <row r="114">
      <c r="A114" s="4" t="s">
        <v>24</v>
      </c>
      <c r="B114" s="5" t="s">
        <v>11</v>
      </c>
      <c r="C114" s="6"/>
      <c r="D114" s="6">
        <v>1500.0</v>
      </c>
    </row>
    <row r="115">
      <c r="A115" s="4" t="s">
        <v>27</v>
      </c>
      <c r="B115" s="5" t="s">
        <v>11</v>
      </c>
      <c r="C115" s="6"/>
      <c r="D115" s="6">
        <v>1500.0</v>
      </c>
    </row>
    <row r="116">
      <c r="A116" s="4" t="s">
        <v>242</v>
      </c>
      <c r="B116" s="5" t="s">
        <v>11</v>
      </c>
      <c r="C116" s="6"/>
      <c r="D116" s="6">
        <v>1500.0</v>
      </c>
    </row>
    <row r="117">
      <c r="A117" s="4" t="s">
        <v>243</v>
      </c>
      <c r="B117" s="5" t="s">
        <v>11</v>
      </c>
      <c r="C117" s="6"/>
      <c r="D117" s="6">
        <v>1500.0</v>
      </c>
    </row>
    <row r="118">
      <c r="A118" s="4" t="s">
        <v>240</v>
      </c>
      <c r="B118" s="5" t="s">
        <v>11</v>
      </c>
      <c r="C118" s="6"/>
      <c r="D118" s="6">
        <v>1500.0</v>
      </c>
    </row>
    <row r="119">
      <c r="A119" s="4" t="s">
        <v>244</v>
      </c>
      <c r="B119" s="5" t="s">
        <v>11</v>
      </c>
      <c r="C119" s="6"/>
      <c r="D119" s="6">
        <v>1500.0</v>
      </c>
    </row>
    <row r="120">
      <c r="A120" s="4" t="s">
        <v>245</v>
      </c>
      <c r="B120" s="5" t="s">
        <v>11</v>
      </c>
      <c r="C120" s="6"/>
      <c r="D120" s="6">
        <v>1500.0</v>
      </c>
    </row>
    <row r="121">
      <c r="A121" s="4" t="s">
        <v>246</v>
      </c>
      <c r="B121" s="5" t="s">
        <v>11</v>
      </c>
      <c r="C121" s="6"/>
      <c r="D121" s="6">
        <v>1500.0</v>
      </c>
    </row>
    <row r="122">
      <c r="A122" s="4" t="s">
        <v>247</v>
      </c>
      <c r="B122" s="5" t="s">
        <v>11</v>
      </c>
      <c r="C122" s="6"/>
      <c r="D122" s="6">
        <v>1500.0</v>
      </c>
    </row>
    <row r="123">
      <c r="A123" s="4" t="s">
        <v>236</v>
      </c>
      <c r="B123" s="5" t="s">
        <v>11</v>
      </c>
      <c r="C123" s="6"/>
      <c r="D123" s="6">
        <v>1500.0</v>
      </c>
    </row>
    <row r="124">
      <c r="A124" s="4" t="s">
        <v>240</v>
      </c>
      <c r="B124" s="9" t="s">
        <v>196</v>
      </c>
      <c r="C124" s="6"/>
      <c r="D124" s="8">
        <v>4500.0</v>
      </c>
    </row>
  </sheetData>
  <autoFilter ref="$A$1:$Z$124">
    <sortState ref="A1:Z124">
      <sortCondition ref="B1:B124"/>
    </sortState>
  </autoFil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5.0"/>
    <col customWidth="1" min="3" max="3" width="25.29"/>
    <col customWidth="1" min="4" max="4" width="28.57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7">
      <c r="C17" s="65" t="s">
        <v>257</v>
      </c>
      <c r="D17" s="66">
        <f>C15/12/30</f>
        <v>3060.171667</v>
      </c>
    </row>
    <row r="18">
      <c r="C18" s="65" t="s">
        <v>258</v>
      </c>
      <c r="D18" s="66">
        <f>(C15-170000)/12/30</f>
        <v>2587.949444</v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</sheetData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2024-05-11T03:48:29Z</dcterms:created>
  <dc:creator>SN, Srikanth</dc:creator>
</cp:coreProperties>
</file>