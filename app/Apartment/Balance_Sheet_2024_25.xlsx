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24" sheetId="1" r:id="rId4"/>
    <sheet state="visible" name="May24" sheetId="2" r:id="rId5"/>
    <sheet state="visible" name="June24" sheetId="3" r:id="rId6"/>
    <sheet state="visible" name="July24" sheetId="4" r:id="rId7"/>
    <sheet state="visible" name="Aug24" sheetId="5" r:id="rId8"/>
    <sheet state="visible" name="Sept24" sheetId="6" r:id="rId9"/>
    <sheet state="visible" name="Oct24" sheetId="7" r:id="rId10"/>
    <sheet state="visible" name="Nov24" sheetId="8" r:id="rId11"/>
    <sheet state="visible" name="Dec24" sheetId="9" r:id="rId12"/>
    <sheet state="visible" name="Jan 25" sheetId="10" r:id="rId13"/>
  </sheets>
  <definedNames/>
  <calcPr/>
  <extLst>
    <ext uri="GoogleSheetsCustomDataVersion2">
      <go:sheetsCustomData xmlns:go="http://customooxmlschemas.google.com/" r:id="rId14" roundtripDataChecksum="xWL+h0n/AJuYW4DMrzWW6wSvvoYVhaG4is5t8/xouH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9">
      <text>
        <t xml:space="preserve">======
ID#AAABQytFKgU
Kiran M S    (2024-07-08 04:12:35)
Signature Mismatch</t>
      </text>
    </comment>
  </commentList>
  <extLst>
    <ext uri="GoogleSheetsCustomDataVersion2">
      <go:sheetsCustomData xmlns:go="http://customooxmlschemas.google.com/" r:id="rId1" roundtripDataSignature="AMtx7mj44TQIOnxGbhL55Uc7xbLMEHB2sw=="/>
    </ext>
  </extLst>
</comments>
</file>

<file path=xl/sharedStrings.xml><?xml version="1.0" encoding="utf-8"?>
<sst xmlns="http://schemas.openxmlformats.org/spreadsheetml/2006/main" count="365" uniqueCount="113">
  <si>
    <t>Hitech Citadel Phase 2 Flat Owners Association</t>
  </si>
  <si>
    <t>Monthly Collection&amp;Expenditure Details - April 2024</t>
  </si>
  <si>
    <t>Date</t>
  </si>
  <si>
    <t>Details</t>
  </si>
  <si>
    <t>Amount  Collected/Balance</t>
  </si>
  <si>
    <t>Expenses Amount</t>
  </si>
  <si>
    <t>Opening Balance in Bank</t>
  </si>
  <si>
    <t>Corpus Amount</t>
  </si>
  <si>
    <t>Expense Available in Bank</t>
  </si>
  <si>
    <t>Collection</t>
  </si>
  <si>
    <t>Monthly Expense Contribution</t>
  </si>
  <si>
    <t>Corupus Amount paid by Mrs.Suman Nayak (KF1)</t>
  </si>
  <si>
    <t>Sub Total</t>
  </si>
  <si>
    <t>Total of A</t>
  </si>
  <si>
    <t>Expenditure Paid by Cheque</t>
  </si>
  <si>
    <t>Payment to Security Agency</t>
  </si>
  <si>
    <t>Payment to Housekeeping (Mariswamy)</t>
  </si>
  <si>
    <t>Payment to Bescom</t>
  </si>
  <si>
    <t>Payment to BWSSB</t>
  </si>
  <si>
    <t>Total of B</t>
  </si>
  <si>
    <t>Closing Balance (A-B)</t>
  </si>
  <si>
    <t>Cash Expense</t>
  </si>
  <si>
    <t>Cash Withdrawal in Apr 24</t>
  </si>
  <si>
    <t>Cash Carry Forward from Mar 24</t>
  </si>
  <si>
    <t>Towards Garbage Collection</t>
  </si>
  <si>
    <t>Additional Cash Pay to C.Reddy</t>
  </si>
  <si>
    <t>Token amount of Rs.1000 given to Security gaurds (Chandra Reddy, Shivrame gowda) &amp; Housekeeping (Mariswamy)</t>
  </si>
  <si>
    <t>AGM Expenses towardsBreakfast</t>
  </si>
  <si>
    <t>AGM Expenses towards Chairs &amp; Tables</t>
  </si>
  <si>
    <t>Total of C</t>
  </si>
  <si>
    <t xml:space="preserve">Cash in Hand </t>
  </si>
  <si>
    <t>Closing Balance</t>
  </si>
  <si>
    <t>Balance in Bank with Corpus Amount</t>
  </si>
  <si>
    <t xml:space="preserve">Treasurer </t>
  </si>
  <si>
    <r>
      <rPr>
        <rFont val="Calibri"/>
        <color theme="1"/>
        <sz val="14.0"/>
      </rPr>
      <t xml:space="preserve">Monthly Collection&amp;Expenditure Details - </t>
    </r>
    <r>
      <rPr>
        <rFont val="Calibri"/>
        <b/>
        <color theme="1"/>
        <sz val="14.0"/>
      </rPr>
      <t>May 2024</t>
    </r>
  </si>
  <si>
    <t>Cash Drawn</t>
  </si>
  <si>
    <t>Security Agency</t>
  </si>
  <si>
    <t>Bank Charges</t>
  </si>
  <si>
    <t>Bharath Elevattors</t>
  </si>
  <si>
    <t>Painting Work Payment</t>
  </si>
  <si>
    <t xml:space="preserve">Plumbing Work ( Srinivas) </t>
  </si>
  <si>
    <t>Cash Withdrawal in May 24</t>
  </si>
  <si>
    <t>Diesel</t>
  </si>
  <si>
    <t>Plumber payment ( Cash )</t>
  </si>
  <si>
    <t>Monthly Collection&amp;Expenditure Details - August 2024</t>
  </si>
  <si>
    <t>Karthik KC</t>
  </si>
  <si>
    <t>Cash Withdrawal in August 24</t>
  </si>
  <si>
    <t xml:space="preserve">BWSSB ( Paid through cash) </t>
  </si>
  <si>
    <t>Monthly Maintenance Due from last 2 months</t>
  </si>
  <si>
    <t>KF-4 (Aneesh V Naik) - From April 2024</t>
  </si>
  <si>
    <t>Monthly Collection &amp; Expenditure Details - July 2024</t>
  </si>
  <si>
    <t>Cash Withdrawal in July 24</t>
  </si>
  <si>
    <t>Cash Carry Forward from August 24</t>
  </si>
  <si>
    <t>Tank Cleaning Charges</t>
  </si>
  <si>
    <t>KG Block Gym Room Door Repair</t>
  </si>
  <si>
    <t>Monthly Maintenance Due from last 3 months</t>
  </si>
  <si>
    <t>BWSSB</t>
  </si>
  <si>
    <t>Bharath Elevators ( Lift Repair)</t>
  </si>
  <si>
    <t>Cash Withdrawal in Aug 24</t>
  </si>
  <si>
    <t>Cash Carry Forward from July 24</t>
  </si>
  <si>
    <t>Cleaning Items</t>
  </si>
  <si>
    <t>Monthly Collection&amp;Expenditure Details - September 2024</t>
  </si>
  <si>
    <t>Bharath Elevators (KG  Lift Repair advance)</t>
  </si>
  <si>
    <t>Cash Withdrawal in Sep 24</t>
  </si>
  <si>
    <t>Cash Carry Forward from Aug 24</t>
  </si>
  <si>
    <t>New Seal</t>
  </si>
  <si>
    <t>Disel</t>
  </si>
  <si>
    <t>Monthly Collection&amp;Expenditure Details - October 2024</t>
  </si>
  <si>
    <t>7-0ct-24</t>
  </si>
  <si>
    <t>Bharath Elevators (KG  Lift Repair settelement Total Expense Rs. 30680)</t>
  </si>
  <si>
    <t>19-Otc-24</t>
  </si>
  <si>
    <t>Self Withdrawal</t>
  </si>
  <si>
    <t>Generator Maintenance</t>
  </si>
  <si>
    <t>Cash Withdrawal in Oct 24</t>
  </si>
  <si>
    <t>Cash Carry Forward from Sept 24</t>
  </si>
  <si>
    <t xml:space="preserve">AyudaPooja Expense (Includes Bonus) </t>
  </si>
  <si>
    <t>Scrap Salvage Income</t>
  </si>
  <si>
    <t>Plumbing Work (Front balcony pipes + Leakage fixing)</t>
  </si>
  <si>
    <t>Ayudha Pooja Expense</t>
  </si>
  <si>
    <t xml:space="preserve">Pooja Items </t>
  </si>
  <si>
    <t>Sweet boxes</t>
  </si>
  <si>
    <t>Bonus</t>
  </si>
  <si>
    <t xml:space="preserve">      Chandra Reddy</t>
  </si>
  <si>
    <t xml:space="preserve">      Ramegowda</t>
  </si>
  <si>
    <t xml:space="preserve">      Mariyann</t>
  </si>
  <si>
    <t xml:space="preserve">     Bescom Person</t>
  </si>
  <si>
    <t xml:space="preserve">     BBMP Person</t>
  </si>
  <si>
    <t>Total</t>
  </si>
  <si>
    <t>Monthly Collection&amp;Expenditure Details - November 2024</t>
  </si>
  <si>
    <t>Bharath Elevators (Maintenace Oct 24 - Mar 25)</t>
  </si>
  <si>
    <t>Cash Withdrawal in Nov 24</t>
  </si>
  <si>
    <t>Cash Carry Forward from October 24</t>
  </si>
  <si>
    <t>Lift Door Stopper - Vishweswaria block</t>
  </si>
  <si>
    <t>Monthly Collection&amp;Expenditure Details - December 2024</t>
  </si>
  <si>
    <t>Pruthiv (Garden work)</t>
  </si>
  <si>
    <t>Cash Withdrawal in Dec 24</t>
  </si>
  <si>
    <t>Cash Carry Forward from Nov 24</t>
  </si>
  <si>
    <t>Garden work Expense</t>
  </si>
  <si>
    <t>Gardening Expense</t>
  </si>
  <si>
    <t>To Prithiv (by Cheque )</t>
  </si>
  <si>
    <t>Plumbing Work for water disposal (Cash)</t>
  </si>
  <si>
    <t>Tea , Biscuits for labouror ( 4 days ) (Cash)</t>
  </si>
  <si>
    <t>Playing area items Scrap sale ( Cash )</t>
  </si>
  <si>
    <t>Hose Pipe (Cash)</t>
  </si>
  <si>
    <t>Monthly Collection&amp;Expenditure Details - January 2025</t>
  </si>
  <si>
    <t>Cash Withdrawal in Jan 25</t>
  </si>
  <si>
    <t>Cash Carry Forward from Dec 24</t>
  </si>
  <si>
    <t>Sathyanarayana Pooje Expense</t>
  </si>
  <si>
    <t>Contributions</t>
  </si>
  <si>
    <t>Cook (375 * 65 )</t>
  </si>
  <si>
    <t>Porohit</t>
  </si>
  <si>
    <t>Shamyana, Table, Chair</t>
  </si>
  <si>
    <t>Tips for cook and Shamyana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</si>
</sst>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d-mmm-yy"/>
  </numFmts>
  <fonts count="10">
    <font>
      <sz val="11.0"/>
      <color theme="1"/>
      <name val="Calibri"/>
      <scheme val="minor"/>
    </font>
    <font>
      <sz val="20.0"/>
      <color theme="1"/>
      <name val="Calibri"/>
    </font>
    <font/>
    <font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color theme="1"/>
      <name val="Calibri"/>
      <scheme val="minor"/>
    </font>
    <font>
      <b/>
      <sz val="13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5" numFmtId="15" xfId="0" applyAlignment="1" applyBorder="1" applyFont="1" applyNumberForma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wrapText="1"/>
    </xf>
    <xf borderId="0" fillId="0" fontId="5" numFmtId="3" xfId="0" applyFont="1" applyNumberFormat="1"/>
    <xf borderId="0" fillId="0" fontId="6" numFmtId="0" xfId="0" applyAlignment="1" applyFont="1">
      <alignment readingOrder="0"/>
    </xf>
    <xf borderId="4" fillId="0" fontId="5" numFmtId="15" xfId="0" applyAlignment="1" applyBorder="1" applyFont="1" applyNumberFormat="1">
      <alignment horizontal="center" shrinkToFit="0" wrapText="1"/>
    </xf>
    <xf borderId="0" fillId="0" fontId="6" numFmtId="0" xfId="0" applyFont="1"/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15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4" fillId="0" fontId="5" numFmtId="15" xfId="0" applyAlignment="1" applyBorder="1" applyFont="1" applyNumberFormat="1">
      <alignment horizontal="center" readingOrder="0" shrinkToFit="0" wrapText="1"/>
    </xf>
    <xf borderId="0" fillId="0" fontId="8" numFmtId="0" xfId="0" applyAlignment="1" applyFont="1">
      <alignment readingOrder="0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4" fillId="0" fontId="9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0" fillId="0" fontId="6" numFmtId="0" xfId="0" applyAlignment="1" applyFont="1">
      <alignment shrinkToFit="0" wrapText="0"/>
    </xf>
    <xf borderId="4" fillId="0" fontId="6" numFmtId="0" xfId="0" applyAlignment="1" applyBorder="1" applyFont="1">
      <alignment readingOrder="0" textRotation="0"/>
    </xf>
    <xf borderId="4" fillId="0" fontId="8" numFmtId="0" xfId="0" applyBorder="1" applyFont="1"/>
    <xf borderId="1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4" t="s">
        <v>1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7">
        <v>45383.0</v>
      </c>
      <c r="C5" s="5" t="s">
        <v>6</v>
      </c>
      <c r="D5" s="8">
        <v>949384.7</v>
      </c>
      <c r="E5" s="9"/>
    </row>
    <row r="6" ht="14.25" customHeight="1">
      <c r="B6" s="10"/>
      <c r="C6" s="11" t="s">
        <v>7</v>
      </c>
      <c r="D6" s="9">
        <v>38216.0</v>
      </c>
      <c r="E6" s="9"/>
    </row>
    <row r="7" ht="14.25" customHeight="1">
      <c r="B7" s="10"/>
      <c r="C7" s="11" t="s">
        <v>8</v>
      </c>
      <c r="D7" s="9">
        <f>D5-D6</f>
        <v>911168.7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9">
        <v>130000.0</v>
      </c>
      <c r="E10" s="9"/>
    </row>
    <row r="11" ht="14.25" customHeight="1">
      <c r="B11" s="7"/>
      <c r="C11" s="11" t="s">
        <v>11</v>
      </c>
      <c r="D11" s="9">
        <v>5885.0</v>
      </c>
      <c r="E11" s="9"/>
    </row>
    <row r="12" ht="14.25" customHeight="1">
      <c r="B12" s="10"/>
      <c r="C12" s="11"/>
      <c r="D12" s="9"/>
      <c r="E12" s="9"/>
    </row>
    <row r="13" ht="14.25" customHeight="1">
      <c r="B13" s="10"/>
      <c r="C13" s="5" t="s">
        <v>12</v>
      </c>
      <c r="D13" s="8">
        <f>SUM(D10:D11)</f>
        <v>135885</v>
      </c>
      <c r="E13" s="9"/>
    </row>
    <row r="14" ht="14.25" customHeight="1">
      <c r="B14" s="10"/>
      <c r="C14" s="5" t="s">
        <v>13</v>
      </c>
      <c r="D14" s="8">
        <f>D5+D13</f>
        <v>1085269.7</v>
      </c>
      <c r="E14" s="9"/>
    </row>
    <row r="15" ht="14.25" customHeight="1">
      <c r="B15" s="10"/>
      <c r="C15" s="11"/>
      <c r="D15" s="9"/>
      <c r="E15" s="9"/>
    </row>
    <row r="16" ht="14.25" customHeight="1">
      <c r="B16" s="10"/>
      <c r="C16" s="5" t="s">
        <v>14</v>
      </c>
      <c r="D16" s="9"/>
      <c r="E16" s="9"/>
    </row>
    <row r="17" ht="14.25" customHeight="1">
      <c r="B17" s="7">
        <v>45393.0</v>
      </c>
      <c r="C17" s="11" t="s">
        <v>15</v>
      </c>
      <c r="D17" s="9"/>
      <c r="E17" s="9">
        <v>27500.0</v>
      </c>
    </row>
    <row r="18" ht="14.25" customHeight="1">
      <c r="B18" s="7">
        <v>45392.0</v>
      </c>
      <c r="C18" s="11" t="s">
        <v>16</v>
      </c>
      <c r="D18" s="9"/>
      <c r="E18" s="9">
        <v>10000.0</v>
      </c>
    </row>
    <row r="19" ht="14.25" customHeight="1">
      <c r="B19" s="7">
        <v>45399.0</v>
      </c>
      <c r="C19" s="11" t="s">
        <v>17</v>
      </c>
      <c r="D19" s="9"/>
      <c r="E19" s="9">
        <v>11495.0</v>
      </c>
    </row>
    <row r="20" ht="14.25" customHeight="1">
      <c r="B20" s="7">
        <v>45405.0</v>
      </c>
      <c r="C20" s="11" t="s">
        <v>18</v>
      </c>
      <c r="D20" s="9"/>
      <c r="E20" s="9">
        <v>7750.0</v>
      </c>
    </row>
    <row r="21" ht="14.25" customHeight="1">
      <c r="B21" s="7"/>
      <c r="C21" s="11"/>
      <c r="D21" s="9"/>
      <c r="E21" s="9"/>
    </row>
    <row r="22" ht="14.25" customHeight="1">
      <c r="B22" s="10"/>
      <c r="C22" s="5" t="s">
        <v>19</v>
      </c>
      <c r="D22" s="9"/>
      <c r="E22" s="8">
        <f>SUM(E17:E20)</f>
        <v>56745</v>
      </c>
    </row>
    <row r="23" ht="14.25" customHeight="1">
      <c r="B23" s="7">
        <v>45412.0</v>
      </c>
      <c r="C23" s="5" t="s">
        <v>20</v>
      </c>
      <c r="D23" s="8">
        <f>D14-E22</f>
        <v>1028524.7</v>
      </c>
      <c r="E23" s="9"/>
    </row>
    <row r="24" ht="14.25" customHeight="1">
      <c r="B24" s="10"/>
      <c r="C24" s="5"/>
      <c r="D24" s="8"/>
      <c r="E24" s="9"/>
    </row>
    <row r="25" ht="14.25" customHeight="1">
      <c r="B25" s="10"/>
      <c r="C25" s="5" t="s">
        <v>21</v>
      </c>
      <c r="D25" s="9"/>
      <c r="E25" s="8"/>
    </row>
    <row r="26" ht="14.25" customHeight="1">
      <c r="B26" s="10"/>
      <c r="C26" s="5" t="s">
        <v>22</v>
      </c>
      <c r="D26" s="9"/>
      <c r="E26" s="8">
        <v>0.0</v>
      </c>
    </row>
    <row r="27" ht="14.25" customHeight="1">
      <c r="B27" s="10"/>
      <c r="C27" s="5" t="s">
        <v>23</v>
      </c>
      <c r="D27" s="9"/>
      <c r="E27" s="8">
        <v>3506.0</v>
      </c>
    </row>
    <row r="28" ht="14.25" customHeight="1">
      <c r="B28" s="7">
        <v>45386.0</v>
      </c>
      <c r="C28" s="11" t="s">
        <v>24</v>
      </c>
      <c r="D28" s="9"/>
      <c r="E28" s="9">
        <v>1500.0</v>
      </c>
      <c r="K28" s="12"/>
    </row>
    <row r="29" ht="14.25" customHeight="1">
      <c r="B29" s="7">
        <v>45386.0</v>
      </c>
      <c r="C29" s="11" t="s">
        <v>25</v>
      </c>
      <c r="D29" s="9"/>
      <c r="E29" s="9">
        <v>500.0</v>
      </c>
    </row>
    <row r="30" ht="14.25" customHeight="1">
      <c r="B30" s="7">
        <v>45410.0</v>
      </c>
      <c r="C30" s="11" t="s">
        <v>26</v>
      </c>
      <c r="D30" s="9"/>
      <c r="E30" s="9">
        <v>3000.0</v>
      </c>
    </row>
    <row r="31" ht="14.25" customHeight="1">
      <c r="B31" s="7">
        <v>45410.0</v>
      </c>
      <c r="C31" s="11" t="s">
        <v>27</v>
      </c>
      <c r="D31" s="9"/>
      <c r="E31" s="9">
        <v>3500.0</v>
      </c>
    </row>
    <row r="32" ht="14.25" customHeight="1">
      <c r="B32" s="7">
        <v>45410.0</v>
      </c>
      <c r="C32" s="11" t="s">
        <v>28</v>
      </c>
      <c r="D32" s="9"/>
      <c r="E32" s="9">
        <v>1200.0</v>
      </c>
    </row>
    <row r="33" ht="14.25" customHeight="1">
      <c r="B33" s="7"/>
      <c r="C33" s="11"/>
      <c r="D33" s="9"/>
      <c r="E33" s="9"/>
    </row>
    <row r="34" ht="14.25" customHeight="1">
      <c r="B34" s="11"/>
      <c r="C34" s="5" t="s">
        <v>29</v>
      </c>
      <c r="D34" s="9"/>
      <c r="E34" s="8">
        <v>9700.0</v>
      </c>
      <c r="L34" s="13">
        <v>10000.0</v>
      </c>
    </row>
    <row r="35" ht="14.25" customHeight="1">
      <c r="B35" s="11"/>
      <c r="C35" s="5"/>
      <c r="D35" s="9"/>
      <c r="E35" s="8"/>
      <c r="L35" s="13">
        <v>6194.0</v>
      </c>
    </row>
    <row r="36" ht="14.25" customHeight="1">
      <c r="B36" s="14"/>
      <c r="C36" s="5" t="s">
        <v>30</v>
      </c>
      <c r="D36" s="8">
        <f>E27-E34</f>
        <v>-6194</v>
      </c>
      <c r="E36" s="8"/>
      <c r="L36" s="13">
        <v>2000.0</v>
      </c>
    </row>
    <row r="37" ht="14.25" customHeight="1">
      <c r="B37" s="11"/>
      <c r="C37" s="11"/>
      <c r="D37" s="9"/>
      <c r="E37" s="9"/>
    </row>
    <row r="38" ht="14.25" customHeight="1">
      <c r="B38" s="14">
        <v>45412.0</v>
      </c>
      <c r="C38" s="5" t="s">
        <v>31</v>
      </c>
      <c r="D38" s="8">
        <f>D23</f>
        <v>1028524.7</v>
      </c>
      <c r="E38" s="9"/>
      <c r="L38" s="15">
        <f>L34-L35-L36</f>
        <v>1806</v>
      </c>
    </row>
    <row r="39" ht="14.25" customHeight="1">
      <c r="B39" s="14">
        <v>45412.0</v>
      </c>
      <c r="C39" s="5" t="s">
        <v>32</v>
      </c>
      <c r="D39" s="8">
        <f>D38</f>
        <v>1028524.7</v>
      </c>
      <c r="E39" s="9"/>
    </row>
    <row r="40" ht="14.25" customHeight="1"/>
    <row r="41" ht="14.25" customHeight="1">
      <c r="C41" s="16"/>
    </row>
    <row r="42" ht="14.25" customHeight="1"/>
    <row r="43" ht="14.25" customHeight="1"/>
    <row r="44" ht="14.25" customHeight="1">
      <c r="E44" s="17" t="s">
        <v>33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E2"/>
    <mergeCell ref="B3:E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8" t="s">
        <v>0</v>
      </c>
      <c r="C2" s="2"/>
      <c r="D2" s="2"/>
      <c r="E2" s="3"/>
    </row>
    <row r="3" ht="14.25" customHeight="1">
      <c r="B3" s="19" t="s">
        <v>34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7">
        <v>45383.0</v>
      </c>
      <c r="C5" s="5" t="s">
        <v>6</v>
      </c>
      <c r="D5" s="20">
        <v>1028524.7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1028524.7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65000.0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65000</v>
      </c>
      <c r="E12" s="9"/>
    </row>
    <row r="13" ht="14.25" customHeight="1">
      <c r="B13" s="10"/>
      <c r="C13" s="5" t="s">
        <v>13</v>
      </c>
      <c r="D13" s="8">
        <f>D5+D12</f>
        <v>1093524.7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>
        <v>45414.0</v>
      </c>
      <c r="C16" s="23" t="s">
        <v>35</v>
      </c>
      <c r="D16" s="9"/>
      <c r="E16" s="21">
        <v>10000.0</v>
      </c>
    </row>
    <row r="17" ht="14.25" customHeight="1">
      <c r="B17" s="22">
        <v>45416.0</v>
      </c>
      <c r="C17" s="11" t="s">
        <v>16</v>
      </c>
      <c r="D17" s="9"/>
      <c r="E17" s="21">
        <v>11000.0</v>
      </c>
    </row>
    <row r="18" ht="14.25" customHeight="1">
      <c r="B18" s="22">
        <v>45418.0</v>
      </c>
      <c r="C18" s="23" t="s">
        <v>36</v>
      </c>
      <c r="D18" s="9"/>
      <c r="E18" s="21">
        <v>27500.0</v>
      </c>
    </row>
    <row r="19" ht="14.25" customHeight="1">
      <c r="B19" s="22">
        <v>45418.0</v>
      </c>
      <c r="C19" s="23" t="s">
        <v>37</v>
      </c>
      <c r="D19" s="9"/>
      <c r="E19" s="21">
        <v>1180.0</v>
      </c>
    </row>
    <row r="20" ht="14.25" customHeight="1">
      <c r="B20" s="22">
        <v>45419.0</v>
      </c>
      <c r="C20" s="23" t="s">
        <v>38</v>
      </c>
      <c r="D20" s="9"/>
      <c r="E20" s="21">
        <v>22199.0</v>
      </c>
    </row>
    <row r="21" ht="14.25" customHeight="1">
      <c r="B21" s="22">
        <v>45426.0</v>
      </c>
      <c r="C21" s="23" t="s">
        <v>39</v>
      </c>
      <c r="D21" s="9"/>
      <c r="E21" s="21">
        <v>150000.0</v>
      </c>
    </row>
    <row r="22" ht="14.25" customHeight="1">
      <c r="B22" s="22">
        <v>45428.0</v>
      </c>
      <c r="C22" s="23" t="s">
        <v>40</v>
      </c>
      <c r="D22" s="9"/>
      <c r="E22" s="21">
        <v>10000.0</v>
      </c>
    </row>
    <row r="23" ht="14.25" customHeight="1">
      <c r="B23" s="22">
        <v>45429.0</v>
      </c>
      <c r="C23" s="11" t="s">
        <v>17</v>
      </c>
      <c r="D23" s="9"/>
      <c r="E23" s="9">
        <f>6930+2203+2255</f>
        <v>11388</v>
      </c>
    </row>
    <row r="24" ht="14.25" customHeight="1">
      <c r="B24" s="22">
        <v>45432.0</v>
      </c>
      <c r="C24" s="11" t="s">
        <v>18</v>
      </c>
      <c r="D24" s="9"/>
      <c r="E24" s="21">
        <v>6826.0</v>
      </c>
    </row>
    <row r="25" ht="14.25" customHeight="1">
      <c r="B25" s="10"/>
      <c r="C25" s="5"/>
      <c r="D25" s="9"/>
      <c r="E25" s="8"/>
    </row>
    <row r="26" ht="14.25" customHeight="1">
      <c r="B26" s="10"/>
      <c r="C26" s="5" t="s">
        <v>19</v>
      </c>
      <c r="D26" s="9"/>
      <c r="E26" s="8">
        <f>SUM(E16:E24)</f>
        <v>250093</v>
      </c>
    </row>
    <row r="27" ht="14.25" customHeight="1">
      <c r="B27" s="7">
        <v>45412.0</v>
      </c>
      <c r="C27" s="5" t="s">
        <v>20</v>
      </c>
      <c r="D27" s="8">
        <f>D13-E26</f>
        <v>843431.7</v>
      </c>
      <c r="E27" s="9"/>
    </row>
    <row r="28" ht="14.25" customHeight="1">
      <c r="B28" s="10"/>
      <c r="C28" s="5"/>
      <c r="D28" s="8"/>
      <c r="E28" s="9"/>
    </row>
    <row r="29" ht="14.25" customHeight="1">
      <c r="B29" s="10"/>
      <c r="C29" s="5" t="s">
        <v>21</v>
      </c>
      <c r="D29" s="9"/>
      <c r="E29" s="8"/>
    </row>
    <row r="30" ht="14.25" customHeight="1">
      <c r="B30" s="10"/>
      <c r="C30" s="24" t="s">
        <v>41</v>
      </c>
      <c r="D30" s="9"/>
      <c r="E30" s="20">
        <v>10000.0</v>
      </c>
    </row>
    <row r="31" ht="14.25" customHeight="1">
      <c r="B31" s="10"/>
      <c r="C31" s="5" t="s">
        <v>23</v>
      </c>
      <c r="D31" s="9"/>
      <c r="E31" s="20">
        <v>-6194.0</v>
      </c>
    </row>
    <row r="32" ht="14.25" customHeight="1">
      <c r="B32" s="22">
        <v>45416.0</v>
      </c>
      <c r="C32" s="11" t="s">
        <v>24</v>
      </c>
      <c r="D32" s="9"/>
      <c r="E32" s="9">
        <v>1500.0</v>
      </c>
      <c r="K32" s="12"/>
    </row>
    <row r="33" ht="14.25" customHeight="1">
      <c r="B33" s="22">
        <v>45416.0</v>
      </c>
      <c r="C33" s="11" t="s">
        <v>25</v>
      </c>
      <c r="D33" s="9"/>
      <c r="E33" s="9">
        <v>500.0</v>
      </c>
    </row>
    <row r="34" ht="14.25" customHeight="1">
      <c r="B34" s="22">
        <v>45422.0</v>
      </c>
      <c r="C34" s="23" t="s">
        <v>42</v>
      </c>
      <c r="D34" s="9"/>
      <c r="E34" s="21">
        <v>1000.0</v>
      </c>
    </row>
    <row r="35" ht="14.25" customHeight="1">
      <c r="B35" s="22">
        <v>45428.0</v>
      </c>
      <c r="C35" s="23" t="s">
        <v>43</v>
      </c>
      <c r="D35" s="9"/>
      <c r="E35" s="21">
        <v>2835.0</v>
      </c>
    </row>
    <row r="36" ht="14.25" customHeight="1">
      <c r="B36" s="7"/>
      <c r="C36" s="11"/>
      <c r="D36" s="9"/>
      <c r="E36" s="9"/>
    </row>
    <row r="37" ht="14.25" customHeight="1">
      <c r="B37" s="11"/>
      <c r="C37" s="5" t="s">
        <v>29</v>
      </c>
      <c r="D37" s="9"/>
      <c r="E37" s="8">
        <f>E32+E33+E34+E35</f>
        <v>5835</v>
      </c>
    </row>
    <row r="38" ht="14.25" customHeight="1">
      <c r="B38" s="11"/>
      <c r="C38" s="5"/>
      <c r="D38" s="9"/>
      <c r="E38" s="8"/>
    </row>
    <row r="39" ht="14.25" customHeight="1">
      <c r="B39" s="14"/>
      <c r="C39" s="5" t="s">
        <v>30</v>
      </c>
      <c r="D39" s="8">
        <f>E30+E31-E37</f>
        <v>-2029</v>
      </c>
      <c r="E39" s="8"/>
    </row>
    <row r="40" ht="14.25" customHeight="1">
      <c r="B40" s="11"/>
      <c r="C40" s="11"/>
      <c r="D40" s="9"/>
      <c r="E40" s="9"/>
    </row>
    <row r="41" ht="14.25" customHeight="1">
      <c r="B41" s="14">
        <v>45412.0</v>
      </c>
      <c r="C41" s="5" t="s">
        <v>31</v>
      </c>
      <c r="D41" s="8">
        <f>D27</f>
        <v>843431.7</v>
      </c>
      <c r="E41" s="9"/>
    </row>
    <row r="42" ht="14.25" customHeight="1">
      <c r="B42" s="14">
        <v>45412.0</v>
      </c>
      <c r="C42" s="5" t="s">
        <v>32</v>
      </c>
      <c r="D42" s="8">
        <f>D41</f>
        <v>843431.7</v>
      </c>
      <c r="E42" s="9"/>
    </row>
    <row r="43" ht="14.25" customHeight="1"/>
    <row r="44" ht="14.25" customHeight="1">
      <c r="C44" s="16"/>
    </row>
    <row r="45" ht="14.25" customHeight="1"/>
    <row r="46" ht="14.25" customHeight="1"/>
    <row r="47" ht="14.25" customHeight="1">
      <c r="E47" s="17" t="s">
        <v>33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B2:E2"/>
    <mergeCell ref="B3:E3"/>
  </mergeCells>
  <printOptions/>
  <pageMargins bottom="0.75" footer="0.0" header="0.0" left="0.25" right="0.25" top="0.75"/>
  <pageSetup fitToHeight="0"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44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2">
        <v>45444.0</v>
      </c>
      <c r="C5" s="5" t="s">
        <v>6</v>
      </c>
      <c r="D5" s="8">
        <v>843431.7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843431.7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96200.0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96200</v>
      </c>
      <c r="E12" s="9"/>
    </row>
    <row r="13" ht="14.25" customHeight="1">
      <c r="B13" s="10"/>
      <c r="C13" s="5" t="s">
        <v>13</v>
      </c>
      <c r="D13" s="8">
        <f>D5+D12</f>
        <v>939631.7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>
        <v>45448.0</v>
      </c>
      <c r="C16" s="23" t="s">
        <v>35</v>
      </c>
      <c r="D16" s="9"/>
      <c r="E16" s="21">
        <v>15000.0</v>
      </c>
    </row>
    <row r="17" ht="14.25" customHeight="1">
      <c r="B17" s="22">
        <v>45449.0</v>
      </c>
      <c r="C17" s="11" t="s">
        <v>16</v>
      </c>
      <c r="D17" s="9"/>
      <c r="E17" s="21">
        <v>11000.0</v>
      </c>
    </row>
    <row r="18" ht="14.25" customHeight="1">
      <c r="B18" s="22">
        <v>45453.0</v>
      </c>
      <c r="C18" s="23" t="s">
        <v>45</v>
      </c>
      <c r="D18" s="9"/>
      <c r="E18" s="21">
        <v>27500.0</v>
      </c>
    </row>
    <row r="19" ht="14.25" customHeight="1">
      <c r="B19" s="22">
        <v>45446.0</v>
      </c>
      <c r="C19" s="23" t="s">
        <v>37</v>
      </c>
      <c r="D19" s="9"/>
      <c r="E19" s="21">
        <v>118.0</v>
      </c>
    </row>
    <row r="20" ht="14.25" customHeight="1">
      <c r="B20" s="22">
        <v>45460.0</v>
      </c>
      <c r="C20" s="11" t="s">
        <v>17</v>
      </c>
      <c r="D20" s="9"/>
      <c r="E20" s="21">
        <v>11683.0</v>
      </c>
    </row>
    <row r="21" ht="14.25" customHeight="1">
      <c r="B21" s="10"/>
      <c r="C21" s="5"/>
      <c r="D21" s="9"/>
      <c r="E21" s="8"/>
    </row>
    <row r="22" ht="14.25" customHeight="1">
      <c r="B22" s="10"/>
      <c r="C22" s="5" t="s">
        <v>19</v>
      </c>
      <c r="D22" s="9"/>
      <c r="E22" s="8">
        <f>SUM(E16:E20)</f>
        <v>65301</v>
      </c>
    </row>
    <row r="23" ht="14.25" customHeight="1">
      <c r="B23" s="22">
        <v>11498.0</v>
      </c>
      <c r="C23" s="5" t="s">
        <v>20</v>
      </c>
      <c r="D23" s="8">
        <f>D13-E22</f>
        <v>874330.7</v>
      </c>
      <c r="E23" s="9"/>
    </row>
    <row r="24" ht="14.25" customHeight="1">
      <c r="B24" s="10"/>
      <c r="C24" s="5"/>
      <c r="D24" s="8"/>
      <c r="E24" s="9"/>
    </row>
    <row r="25" ht="14.25" customHeight="1">
      <c r="B25" s="10"/>
      <c r="C25" s="5" t="s">
        <v>21</v>
      </c>
      <c r="D25" s="9"/>
      <c r="E25" s="8"/>
    </row>
    <row r="26" ht="14.25" customHeight="1">
      <c r="B26" s="10"/>
      <c r="C26" s="24" t="s">
        <v>46</v>
      </c>
      <c r="D26" s="9"/>
      <c r="E26" s="20">
        <v>15000.0</v>
      </c>
    </row>
    <row r="27" ht="14.25" customHeight="1">
      <c r="B27" s="10"/>
      <c r="C27" s="5" t="s">
        <v>23</v>
      </c>
      <c r="D27" s="9"/>
      <c r="E27" s="20">
        <v>-2029.0</v>
      </c>
    </row>
    <row r="28" ht="14.25" customHeight="1">
      <c r="B28" s="22">
        <v>45445.0</v>
      </c>
      <c r="C28" s="11" t="s">
        <v>24</v>
      </c>
      <c r="D28" s="9"/>
      <c r="E28" s="9">
        <v>1500.0</v>
      </c>
      <c r="K28" s="12"/>
    </row>
    <row r="29" ht="14.25" customHeight="1">
      <c r="B29" s="22">
        <v>45445.0</v>
      </c>
      <c r="C29" s="11" t="s">
        <v>25</v>
      </c>
      <c r="D29" s="9"/>
      <c r="E29" s="9">
        <v>500.0</v>
      </c>
    </row>
    <row r="30" ht="14.25" customHeight="1">
      <c r="B30" s="22">
        <v>45463.0</v>
      </c>
      <c r="C30" s="23" t="s">
        <v>47</v>
      </c>
      <c r="D30" s="9"/>
      <c r="E30" s="21">
        <v>6980.0</v>
      </c>
    </row>
    <row r="31" ht="14.25" customHeight="1">
      <c r="B31" s="7"/>
      <c r="C31" s="11"/>
      <c r="D31" s="9"/>
      <c r="E31" s="9"/>
    </row>
    <row r="32" ht="14.25" customHeight="1">
      <c r="B32" s="7"/>
      <c r="C32" s="11"/>
      <c r="D32" s="9"/>
      <c r="E32" s="9"/>
    </row>
    <row r="33" ht="14.25" customHeight="1">
      <c r="B33" s="11"/>
      <c r="C33" s="5" t="s">
        <v>29</v>
      </c>
      <c r="D33" s="9"/>
      <c r="E33" s="8">
        <f>sum(E28:E30)</f>
        <v>8980</v>
      </c>
    </row>
    <row r="34" ht="14.25" customHeight="1">
      <c r="B34" s="11"/>
      <c r="C34" s="5"/>
      <c r="D34" s="9"/>
      <c r="E34" s="8"/>
    </row>
    <row r="35" ht="14.25" customHeight="1">
      <c r="B35" s="14"/>
      <c r="C35" s="5" t="s">
        <v>30</v>
      </c>
      <c r="D35" s="8">
        <f>E27+E26-E33</f>
        <v>3991</v>
      </c>
      <c r="E35" s="8"/>
    </row>
    <row r="36" ht="14.25" customHeight="1">
      <c r="B36" s="11"/>
      <c r="C36" s="11"/>
      <c r="D36" s="9"/>
      <c r="E36" s="9"/>
    </row>
    <row r="37" ht="14.25" customHeight="1">
      <c r="B37" s="14">
        <v>45412.0</v>
      </c>
      <c r="C37" s="5" t="s">
        <v>31</v>
      </c>
      <c r="D37" s="8">
        <f>D23</f>
        <v>874330.7</v>
      </c>
      <c r="E37" s="9"/>
    </row>
    <row r="38" ht="14.25" customHeight="1">
      <c r="B38" s="14">
        <v>45412.0</v>
      </c>
      <c r="C38" s="5" t="s">
        <v>32</v>
      </c>
      <c r="D38" s="8">
        <f>D37</f>
        <v>874330.7</v>
      </c>
      <c r="E38" s="9"/>
    </row>
    <row r="39" ht="14.25" customHeight="1"/>
    <row r="40" ht="14.25" customHeight="1">
      <c r="C40" s="25" t="s">
        <v>48</v>
      </c>
    </row>
    <row r="41" ht="14.25" customHeight="1">
      <c r="C41" s="13" t="s">
        <v>49</v>
      </c>
    </row>
    <row r="42" ht="14.25" customHeight="1"/>
    <row r="43" ht="14.25" customHeight="1"/>
    <row r="44" ht="14.25" customHeight="1"/>
    <row r="45" ht="14.25" customHeight="1">
      <c r="E45" s="17" t="s">
        <v>33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50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2">
        <v>45474.0</v>
      </c>
      <c r="C5" s="5" t="s">
        <v>6</v>
      </c>
      <c r="D5" s="8">
        <v>874330.7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874330.7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80600.0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80600</v>
      </c>
      <c r="E12" s="9"/>
    </row>
    <row r="13" ht="14.25" customHeight="1">
      <c r="B13" s="10"/>
      <c r="C13" s="5" t="s">
        <v>13</v>
      </c>
      <c r="D13" s="8">
        <f>D5+D12</f>
        <v>954930.7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/>
      <c r="C16" s="11" t="s">
        <v>16</v>
      </c>
      <c r="D16" s="9"/>
      <c r="E16" s="21">
        <v>11000.0</v>
      </c>
    </row>
    <row r="17" ht="14.25" customHeight="1">
      <c r="B17" s="22"/>
      <c r="C17" s="23" t="s">
        <v>45</v>
      </c>
      <c r="D17" s="9"/>
      <c r="E17" s="21">
        <v>27500.0</v>
      </c>
    </row>
    <row r="18" ht="14.25" customHeight="1">
      <c r="B18" s="22"/>
      <c r="C18" s="23" t="s">
        <v>18</v>
      </c>
      <c r="D18" s="9"/>
      <c r="E18" s="21">
        <v>7178.0</v>
      </c>
    </row>
    <row r="19" ht="14.25" customHeight="1">
      <c r="B19" s="22"/>
      <c r="C19" s="11" t="s">
        <v>17</v>
      </c>
      <c r="D19" s="9"/>
      <c r="E19" s="21">
        <v>9042.0</v>
      </c>
    </row>
    <row r="20" ht="14.25" customHeight="1">
      <c r="B20" s="10"/>
      <c r="C20" s="5"/>
      <c r="D20" s="9"/>
      <c r="E20" s="8"/>
    </row>
    <row r="21" ht="14.25" customHeight="1">
      <c r="B21" s="10"/>
      <c r="C21" s="5" t="s">
        <v>19</v>
      </c>
      <c r="D21" s="9"/>
      <c r="E21" s="8">
        <f>SUM(E16:E19)</f>
        <v>54720</v>
      </c>
    </row>
    <row r="22" ht="14.25" customHeight="1">
      <c r="B22" s="22">
        <v>45504.0</v>
      </c>
      <c r="C22" s="5" t="s">
        <v>20</v>
      </c>
      <c r="D22" s="8">
        <f>D13-E21</f>
        <v>900210.7</v>
      </c>
      <c r="E22" s="9"/>
    </row>
    <row r="23" ht="14.25" customHeight="1">
      <c r="B23" s="10"/>
      <c r="C23" s="5"/>
      <c r="D23" s="8"/>
      <c r="E23" s="9"/>
    </row>
    <row r="24" ht="14.25" customHeight="1">
      <c r="B24" s="10"/>
      <c r="C24" s="5" t="s">
        <v>21</v>
      </c>
      <c r="D24" s="9"/>
      <c r="E24" s="8"/>
    </row>
    <row r="25" ht="14.25" customHeight="1">
      <c r="B25" s="10"/>
      <c r="C25" s="24" t="s">
        <v>51</v>
      </c>
      <c r="D25" s="9"/>
      <c r="E25" s="20">
        <v>0.0</v>
      </c>
    </row>
    <row r="26" ht="14.25" customHeight="1">
      <c r="B26" s="10"/>
      <c r="C26" s="24" t="s">
        <v>52</v>
      </c>
      <c r="D26" s="9"/>
      <c r="E26" s="20">
        <v>3991.0</v>
      </c>
    </row>
    <row r="27" ht="14.25" customHeight="1">
      <c r="B27" s="22">
        <v>45475.0</v>
      </c>
      <c r="C27" s="11" t="s">
        <v>24</v>
      </c>
      <c r="D27" s="9"/>
      <c r="E27" s="9">
        <v>1500.0</v>
      </c>
      <c r="K27" s="12"/>
    </row>
    <row r="28" ht="14.25" customHeight="1">
      <c r="B28" s="22">
        <v>45475.0</v>
      </c>
      <c r="C28" s="11" t="s">
        <v>25</v>
      </c>
      <c r="D28" s="9"/>
      <c r="E28" s="9">
        <v>500.0</v>
      </c>
    </row>
    <row r="29" ht="14.25" customHeight="1">
      <c r="B29" s="22">
        <v>45477.0</v>
      </c>
      <c r="C29" s="23" t="s">
        <v>53</v>
      </c>
      <c r="D29" s="9"/>
      <c r="E29" s="21">
        <v>4350.0</v>
      </c>
    </row>
    <row r="30" ht="14.25" customHeight="1">
      <c r="B30" s="22">
        <v>45481.0</v>
      </c>
      <c r="C30" s="23" t="s">
        <v>54</v>
      </c>
      <c r="D30" s="9"/>
      <c r="E30" s="21">
        <v>3000.0</v>
      </c>
    </row>
    <row r="31" ht="14.25" customHeight="1">
      <c r="B31" s="22">
        <v>45488.0</v>
      </c>
      <c r="C31" s="23" t="s">
        <v>42</v>
      </c>
      <c r="D31" s="9"/>
      <c r="E31" s="21">
        <v>1000.0</v>
      </c>
    </row>
    <row r="32" ht="14.25" customHeight="1">
      <c r="B32" s="7"/>
      <c r="C32" s="11"/>
      <c r="D32" s="9"/>
      <c r="E32" s="9"/>
    </row>
    <row r="33" ht="14.25" customHeight="1">
      <c r="B33" s="11"/>
      <c r="C33" s="5" t="s">
        <v>29</v>
      </c>
      <c r="D33" s="9"/>
      <c r="E33" s="8">
        <f>sum(E27:E31)</f>
        <v>10350</v>
      </c>
    </row>
    <row r="34" ht="14.25" customHeight="1">
      <c r="B34" s="11"/>
      <c r="C34" s="5"/>
      <c r="D34" s="9"/>
      <c r="E34" s="8"/>
    </row>
    <row r="35" ht="14.25" customHeight="1">
      <c r="B35" s="14"/>
      <c r="C35" s="5" t="s">
        <v>30</v>
      </c>
      <c r="D35" s="8">
        <f>E25+E26-E33</f>
        <v>-6359</v>
      </c>
      <c r="E35" s="8"/>
    </row>
    <row r="36" ht="14.25" customHeight="1">
      <c r="B36" s="11"/>
      <c r="C36" s="11"/>
      <c r="D36" s="9"/>
      <c r="E36" s="9"/>
    </row>
    <row r="37" ht="14.25" customHeight="1">
      <c r="B37" s="26">
        <v>45504.0</v>
      </c>
      <c r="C37" s="5" t="s">
        <v>31</v>
      </c>
      <c r="D37" s="8">
        <f>D22</f>
        <v>900210.7</v>
      </c>
      <c r="E37" s="9"/>
    </row>
    <row r="38" ht="14.25" customHeight="1">
      <c r="B38" s="26">
        <v>45504.0</v>
      </c>
      <c r="C38" s="5" t="s">
        <v>32</v>
      </c>
      <c r="D38" s="8">
        <f>D37</f>
        <v>900210.7</v>
      </c>
      <c r="E38" s="9"/>
    </row>
    <row r="39" ht="14.25" customHeight="1"/>
    <row r="40" ht="14.25" customHeight="1">
      <c r="C40" s="25" t="s">
        <v>55</v>
      </c>
    </row>
    <row r="41" ht="14.25" customHeight="1">
      <c r="C41" s="27" t="s">
        <v>49</v>
      </c>
    </row>
    <row r="42" ht="14.25" customHeight="1"/>
    <row r="43" ht="14.25" customHeight="1">
      <c r="E43" s="17" t="s">
        <v>33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44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45505.0</v>
      </c>
      <c r="C5" s="5" t="s">
        <v>6</v>
      </c>
      <c r="D5" s="20">
        <v>900210.7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900210.7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65000.0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65000</v>
      </c>
      <c r="E12" s="9"/>
    </row>
    <row r="13" ht="14.25" customHeight="1">
      <c r="B13" s="10"/>
      <c r="C13" s="5" t="s">
        <v>13</v>
      </c>
      <c r="D13" s="8">
        <f>D5+D12</f>
        <v>965210.7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>
        <v>45507.0</v>
      </c>
      <c r="C16" s="23" t="s">
        <v>35</v>
      </c>
      <c r="D16" s="9"/>
      <c r="E16" s="21">
        <v>15000.0</v>
      </c>
    </row>
    <row r="17" ht="14.25" customHeight="1">
      <c r="B17" s="22">
        <v>45510.0</v>
      </c>
      <c r="C17" s="11" t="s">
        <v>16</v>
      </c>
      <c r="D17" s="9"/>
      <c r="E17" s="21">
        <v>11000.0</v>
      </c>
    </row>
    <row r="18" ht="14.25" customHeight="1">
      <c r="B18" s="22">
        <v>45512.0</v>
      </c>
      <c r="C18" s="23" t="s">
        <v>45</v>
      </c>
      <c r="D18" s="9"/>
      <c r="E18" s="21">
        <v>27500.0</v>
      </c>
    </row>
    <row r="19" ht="14.25" customHeight="1">
      <c r="B19" s="22">
        <v>45531.0</v>
      </c>
      <c r="C19" s="23" t="s">
        <v>56</v>
      </c>
      <c r="D19" s="9"/>
      <c r="E19" s="21">
        <v>7486.0</v>
      </c>
    </row>
    <row r="20" ht="14.25" customHeight="1">
      <c r="B20" s="22">
        <v>45520.0</v>
      </c>
      <c r="C20" s="23" t="s">
        <v>57</v>
      </c>
      <c r="D20" s="9"/>
      <c r="E20" s="21">
        <v>8024.0</v>
      </c>
    </row>
    <row r="21" ht="14.25" customHeight="1">
      <c r="B21" s="22">
        <v>45521.0</v>
      </c>
      <c r="C21" s="11" t="s">
        <v>17</v>
      </c>
      <c r="D21" s="9"/>
      <c r="E21" s="21">
        <v>10609.0</v>
      </c>
    </row>
    <row r="22" ht="14.25" customHeight="1">
      <c r="B22" s="10"/>
      <c r="C22" s="5"/>
      <c r="D22" s="9"/>
      <c r="E22" s="8"/>
    </row>
    <row r="23" ht="14.25" customHeight="1">
      <c r="B23" s="10"/>
      <c r="C23" s="5" t="s">
        <v>19</v>
      </c>
      <c r="D23" s="9"/>
      <c r="E23" s="8">
        <f>SUM(E16:E21)</f>
        <v>79619</v>
      </c>
    </row>
    <row r="24" ht="14.25" customHeight="1">
      <c r="B24" s="28">
        <v>11566.0</v>
      </c>
      <c r="C24" s="5" t="s">
        <v>20</v>
      </c>
      <c r="D24" s="8">
        <f>D13-E23</f>
        <v>885591.7</v>
      </c>
      <c r="E24" s="9"/>
    </row>
    <row r="25" ht="14.25" customHeight="1">
      <c r="B25" s="10"/>
      <c r="C25" s="5"/>
      <c r="D25" s="8"/>
      <c r="E25" s="9"/>
    </row>
    <row r="26" ht="14.25" customHeight="1">
      <c r="B26" s="10"/>
      <c r="C26" s="5" t="s">
        <v>21</v>
      </c>
      <c r="D26" s="9"/>
      <c r="E26" s="8"/>
    </row>
    <row r="27" ht="14.25" customHeight="1">
      <c r="B27" s="10"/>
      <c r="C27" s="24" t="s">
        <v>58</v>
      </c>
      <c r="D27" s="9"/>
      <c r="E27" s="21">
        <v>15000.0</v>
      </c>
    </row>
    <row r="28" ht="14.25" customHeight="1">
      <c r="B28" s="10"/>
      <c r="C28" s="24" t="s">
        <v>59</v>
      </c>
      <c r="D28" s="9"/>
      <c r="E28" s="20">
        <f>July24!D35</f>
        <v>-6359</v>
      </c>
    </row>
    <row r="29" ht="14.25" customHeight="1">
      <c r="B29" s="22"/>
      <c r="C29" s="23"/>
      <c r="D29" s="9"/>
      <c r="E29" s="21"/>
      <c r="K29" s="12"/>
    </row>
    <row r="30" ht="14.25" customHeight="1">
      <c r="B30" s="22">
        <v>45506.0</v>
      </c>
      <c r="C30" s="11" t="s">
        <v>24</v>
      </c>
      <c r="D30" s="9"/>
      <c r="E30" s="9">
        <v>1500.0</v>
      </c>
      <c r="K30" s="12"/>
    </row>
    <row r="31" ht="14.25" customHeight="1">
      <c r="B31" s="22">
        <v>45506.0</v>
      </c>
      <c r="C31" s="11" t="s">
        <v>25</v>
      </c>
      <c r="D31" s="9"/>
      <c r="E31" s="9">
        <v>500.0</v>
      </c>
    </row>
    <row r="32" ht="14.25" customHeight="1">
      <c r="B32" s="22">
        <v>45507.0</v>
      </c>
      <c r="C32" s="23" t="s">
        <v>60</v>
      </c>
      <c r="D32" s="9"/>
      <c r="E32" s="21">
        <v>485.0</v>
      </c>
    </row>
    <row r="33" ht="14.25" customHeight="1">
      <c r="B33" s="22"/>
      <c r="C33" s="23"/>
      <c r="D33" s="9"/>
      <c r="E33" s="21"/>
    </row>
    <row r="34" ht="14.25" customHeight="1">
      <c r="B34" s="7"/>
      <c r="C34" s="11"/>
      <c r="D34" s="9"/>
      <c r="E34" s="9"/>
    </row>
    <row r="35" ht="14.25" customHeight="1">
      <c r="B35" s="11"/>
      <c r="C35" s="5" t="s">
        <v>29</v>
      </c>
      <c r="D35" s="9"/>
      <c r="E35" s="8">
        <f>sum(E30:E33)</f>
        <v>2485</v>
      </c>
    </row>
    <row r="36" ht="14.25" customHeight="1">
      <c r="B36" s="11"/>
      <c r="C36" s="5"/>
      <c r="D36" s="9"/>
      <c r="E36" s="8"/>
    </row>
    <row r="37" ht="14.25" customHeight="1">
      <c r="B37" s="14"/>
      <c r="C37" s="5" t="s">
        <v>30</v>
      </c>
      <c r="D37" s="8">
        <f>E27+E28-E35</f>
        <v>6156</v>
      </c>
      <c r="E37" s="8"/>
    </row>
    <row r="38" ht="14.25" customHeight="1">
      <c r="B38" s="11"/>
      <c r="C38" s="11"/>
      <c r="D38" s="9"/>
      <c r="E38" s="9"/>
    </row>
    <row r="39" ht="14.25" customHeight="1">
      <c r="B39" s="26">
        <v>45535.0</v>
      </c>
      <c r="C39" s="5" t="s">
        <v>31</v>
      </c>
      <c r="D39" s="8">
        <f>D24</f>
        <v>885591.7</v>
      </c>
      <c r="E39" s="9"/>
    </row>
    <row r="40" ht="14.25" customHeight="1">
      <c r="B40" s="26">
        <v>45535.0</v>
      </c>
      <c r="C40" s="5" t="s">
        <v>32</v>
      </c>
      <c r="D40" s="8">
        <f>D39</f>
        <v>885591.7</v>
      </c>
      <c r="E40" s="9"/>
    </row>
    <row r="41" ht="14.25" customHeight="1"/>
    <row r="42" ht="14.25" customHeight="1">
      <c r="C42" s="25" t="s">
        <v>55</v>
      </c>
    </row>
    <row r="43" ht="14.25" customHeight="1">
      <c r="C43" s="27" t="s">
        <v>49</v>
      </c>
    </row>
    <row r="44" ht="14.25" customHeight="1"/>
    <row r="45" ht="14.25" customHeight="1">
      <c r="E45" s="17" t="s">
        <v>33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61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45536.0</v>
      </c>
      <c r="C5" s="5" t="s">
        <v>6</v>
      </c>
      <c r="D5" s="8">
        <v>885591.7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885591.7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72800.0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72800</v>
      </c>
      <c r="E12" s="9"/>
    </row>
    <row r="13" ht="14.25" customHeight="1">
      <c r="B13" s="10"/>
      <c r="C13" s="5" t="s">
        <v>13</v>
      </c>
      <c r="D13" s="8">
        <f>D5+D12</f>
        <v>958391.7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8">
        <v>45541.0</v>
      </c>
      <c r="C16" s="11" t="s">
        <v>16</v>
      </c>
      <c r="D16" s="9"/>
      <c r="E16" s="21">
        <v>11000.0</v>
      </c>
    </row>
    <row r="17" ht="14.25" customHeight="1">
      <c r="B17" s="28">
        <v>45542.0</v>
      </c>
      <c r="C17" s="23" t="s">
        <v>45</v>
      </c>
      <c r="D17" s="9"/>
      <c r="E17" s="21">
        <v>27500.0</v>
      </c>
    </row>
    <row r="18" ht="14.25" customHeight="1">
      <c r="B18" s="28">
        <v>45562.0</v>
      </c>
      <c r="C18" s="23" t="s">
        <v>56</v>
      </c>
      <c r="D18" s="9"/>
      <c r="E18" s="21">
        <v>7457.0</v>
      </c>
    </row>
    <row r="19" ht="14.25" customHeight="1">
      <c r="B19" s="22">
        <v>45554.0</v>
      </c>
      <c r="C19" s="23" t="s">
        <v>62</v>
      </c>
      <c r="D19" s="9"/>
      <c r="E19" s="21">
        <v>15000.0</v>
      </c>
    </row>
    <row r="20" ht="14.25" customHeight="1">
      <c r="B20" s="22">
        <v>45552.0</v>
      </c>
      <c r="C20" s="11" t="s">
        <v>17</v>
      </c>
      <c r="D20" s="9"/>
      <c r="E20" s="21">
        <v>10328.0</v>
      </c>
    </row>
    <row r="21" ht="14.25" customHeight="1">
      <c r="B21" s="10"/>
      <c r="C21" s="5"/>
      <c r="D21" s="9"/>
      <c r="E21" s="8"/>
    </row>
    <row r="22" ht="14.25" customHeight="1">
      <c r="B22" s="10"/>
      <c r="C22" s="5" t="s">
        <v>19</v>
      </c>
      <c r="D22" s="9"/>
      <c r="E22" s="8">
        <f>SUM(E16:E20)</f>
        <v>71285</v>
      </c>
    </row>
    <row r="23" ht="14.25" customHeight="1">
      <c r="B23" s="28"/>
      <c r="C23" s="5" t="s">
        <v>20</v>
      </c>
      <c r="D23" s="8">
        <f>D13-E22</f>
        <v>887106.7</v>
      </c>
      <c r="E23" s="9"/>
    </row>
    <row r="24" ht="14.25" customHeight="1">
      <c r="B24" s="10"/>
      <c r="C24" s="5"/>
      <c r="D24" s="8"/>
      <c r="E24" s="9"/>
    </row>
    <row r="25" ht="14.25" customHeight="1">
      <c r="B25" s="10"/>
      <c r="C25" s="5" t="s">
        <v>21</v>
      </c>
      <c r="D25" s="9"/>
      <c r="E25" s="8"/>
    </row>
    <row r="26" ht="14.25" customHeight="1">
      <c r="B26" s="10"/>
      <c r="C26" s="24" t="s">
        <v>63</v>
      </c>
      <c r="D26" s="9"/>
      <c r="E26" s="21">
        <v>0.0</v>
      </c>
    </row>
    <row r="27" ht="14.25" customHeight="1">
      <c r="B27" s="10"/>
      <c r="C27" s="24" t="s">
        <v>64</v>
      </c>
      <c r="D27" s="9"/>
      <c r="E27" s="8">
        <v>6156.0</v>
      </c>
    </row>
    <row r="28" ht="14.25" customHeight="1">
      <c r="B28" s="22"/>
      <c r="C28" s="23"/>
      <c r="D28" s="9"/>
      <c r="E28" s="21"/>
      <c r="K28" s="12"/>
    </row>
    <row r="29" ht="14.25" customHeight="1">
      <c r="B29" s="22">
        <v>45537.0</v>
      </c>
      <c r="C29" s="11" t="s">
        <v>24</v>
      </c>
      <c r="D29" s="9"/>
      <c r="E29" s="9">
        <v>1500.0</v>
      </c>
      <c r="K29" s="12"/>
    </row>
    <row r="30" ht="14.25" customHeight="1">
      <c r="B30" s="22">
        <v>45537.0</v>
      </c>
      <c r="C30" s="11" t="s">
        <v>25</v>
      </c>
      <c r="D30" s="9"/>
      <c r="E30" s="9">
        <v>500.0</v>
      </c>
    </row>
    <row r="31" ht="14.25" customHeight="1">
      <c r="B31" s="22">
        <v>45547.0</v>
      </c>
      <c r="C31" s="23" t="s">
        <v>65</v>
      </c>
      <c r="D31" s="9"/>
      <c r="E31" s="21">
        <v>400.0</v>
      </c>
    </row>
    <row r="32" ht="14.25" customHeight="1">
      <c r="B32" s="22">
        <v>45559.0</v>
      </c>
      <c r="C32" s="23" t="s">
        <v>66</v>
      </c>
      <c r="D32" s="9"/>
      <c r="E32" s="21">
        <v>1000.0</v>
      </c>
    </row>
    <row r="33" ht="14.25" customHeight="1">
      <c r="B33" s="7"/>
      <c r="C33" s="11"/>
      <c r="D33" s="9"/>
      <c r="E33" s="9"/>
    </row>
    <row r="34" ht="14.25" customHeight="1">
      <c r="B34" s="7"/>
      <c r="C34" s="11"/>
      <c r="D34" s="9"/>
      <c r="E34" s="9"/>
    </row>
    <row r="35" ht="14.25" customHeight="1">
      <c r="B35" s="11"/>
      <c r="C35" s="5" t="s">
        <v>29</v>
      </c>
      <c r="D35" s="9"/>
      <c r="E35" s="8">
        <f>sum(E29:E32)</f>
        <v>3400</v>
      </c>
    </row>
    <row r="36" ht="14.25" customHeight="1">
      <c r="B36" s="11"/>
      <c r="C36" s="5"/>
      <c r="D36" s="9"/>
      <c r="E36" s="8"/>
    </row>
    <row r="37" ht="14.25" customHeight="1">
      <c r="B37" s="14"/>
      <c r="C37" s="5" t="s">
        <v>30</v>
      </c>
      <c r="D37" s="8">
        <f>E26+E27-E35</f>
        <v>2756</v>
      </c>
      <c r="E37" s="8"/>
    </row>
    <row r="38" ht="14.25" customHeight="1">
      <c r="B38" s="11"/>
      <c r="C38" s="11"/>
      <c r="D38" s="9"/>
      <c r="E38" s="9"/>
    </row>
    <row r="39" ht="14.25" customHeight="1">
      <c r="B39" s="22">
        <v>45565.0</v>
      </c>
      <c r="C39" s="5" t="s">
        <v>31</v>
      </c>
      <c r="D39" s="8">
        <f>D23</f>
        <v>887106.7</v>
      </c>
      <c r="E39" s="9"/>
    </row>
    <row r="40" ht="14.25" customHeight="1">
      <c r="B40" s="22">
        <v>45565.0</v>
      </c>
      <c r="C40" s="5" t="s">
        <v>32</v>
      </c>
      <c r="D40" s="8">
        <f>D39</f>
        <v>887106.7</v>
      </c>
      <c r="E40" s="9"/>
    </row>
    <row r="41" ht="14.25" customHeight="1"/>
    <row r="42" ht="14.25" customHeight="1">
      <c r="C42" s="25"/>
    </row>
    <row r="43" ht="14.25" customHeight="1">
      <c r="C43" s="27"/>
    </row>
    <row r="44" ht="14.25" customHeight="1"/>
    <row r="45" ht="14.25" customHeight="1">
      <c r="E45" s="17" t="s">
        <v>33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67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45566.0</v>
      </c>
      <c r="C5" s="5" t="s">
        <v>6</v>
      </c>
      <c r="D5" s="20">
        <v>887106.7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887106.7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72800.0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72800</v>
      </c>
      <c r="E12" s="9"/>
    </row>
    <row r="13" ht="14.25" customHeight="1">
      <c r="B13" s="10"/>
      <c r="C13" s="5" t="s">
        <v>13</v>
      </c>
      <c r="D13" s="8">
        <f>D5+D12</f>
        <v>959906.7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9" t="s">
        <v>68</v>
      </c>
      <c r="C16" s="11" t="s">
        <v>16</v>
      </c>
      <c r="D16" s="9"/>
      <c r="E16" s="21">
        <v>11000.0</v>
      </c>
    </row>
    <row r="17" ht="14.25" customHeight="1">
      <c r="B17" s="22">
        <v>45572.0</v>
      </c>
      <c r="C17" s="23" t="s">
        <v>45</v>
      </c>
      <c r="D17" s="9"/>
      <c r="E17" s="21">
        <v>27500.0</v>
      </c>
    </row>
    <row r="18" ht="14.25" customHeight="1">
      <c r="B18" s="28">
        <v>45584.0</v>
      </c>
      <c r="C18" s="23" t="s">
        <v>56</v>
      </c>
      <c r="D18" s="9"/>
      <c r="E18" s="21">
        <v>7850.0</v>
      </c>
    </row>
    <row r="19" ht="14.25" customHeight="1">
      <c r="B19" s="22">
        <v>45594.0</v>
      </c>
      <c r="C19" s="23" t="s">
        <v>69</v>
      </c>
      <c r="D19" s="9"/>
      <c r="E19" s="21">
        <v>15680.0</v>
      </c>
    </row>
    <row r="20" ht="14.25" customHeight="1">
      <c r="B20" s="29" t="s">
        <v>70</v>
      </c>
      <c r="C20" s="23" t="s">
        <v>71</v>
      </c>
      <c r="D20" s="9"/>
      <c r="E20" s="21">
        <v>15000.0</v>
      </c>
    </row>
    <row r="21" ht="14.25" customHeight="1">
      <c r="B21" s="22">
        <v>45575.0</v>
      </c>
      <c r="C21" s="11" t="s">
        <v>17</v>
      </c>
      <c r="D21" s="30"/>
      <c r="E21" s="21">
        <v>9635.0</v>
      </c>
    </row>
    <row r="22" ht="14.25" customHeight="1">
      <c r="B22" s="22">
        <v>45590.0</v>
      </c>
      <c r="C22" s="23" t="s">
        <v>72</v>
      </c>
      <c r="D22" s="9"/>
      <c r="E22" s="21">
        <v>9649.0</v>
      </c>
    </row>
    <row r="23" ht="14.25" customHeight="1">
      <c r="B23" s="10"/>
      <c r="C23" s="5"/>
      <c r="D23" s="9"/>
      <c r="E23" s="8"/>
    </row>
    <row r="24" ht="14.25" customHeight="1">
      <c r="B24" s="10"/>
      <c r="C24" s="5" t="s">
        <v>19</v>
      </c>
      <c r="D24" s="9"/>
      <c r="E24" s="8">
        <f>SUM(E16:E22)</f>
        <v>96314</v>
      </c>
    </row>
    <row r="25" ht="14.25" customHeight="1">
      <c r="B25" s="28"/>
      <c r="C25" s="5" t="s">
        <v>20</v>
      </c>
      <c r="D25" s="8">
        <f>D13-E24</f>
        <v>863592.7</v>
      </c>
      <c r="E25" s="9"/>
    </row>
    <row r="26" ht="14.25" customHeight="1">
      <c r="B26" s="10"/>
      <c r="C26" s="5"/>
      <c r="D26" s="8"/>
      <c r="E26" s="9"/>
    </row>
    <row r="27" ht="14.25" customHeight="1">
      <c r="B27" s="10"/>
      <c r="C27" s="5" t="s">
        <v>21</v>
      </c>
      <c r="D27" s="9"/>
      <c r="E27" s="8"/>
    </row>
    <row r="28" ht="14.25" customHeight="1">
      <c r="B28" s="10"/>
      <c r="C28" s="24" t="s">
        <v>73</v>
      </c>
      <c r="D28" s="9"/>
      <c r="E28" s="21">
        <v>15000.0</v>
      </c>
    </row>
    <row r="29" ht="14.25" customHeight="1">
      <c r="B29" s="10"/>
      <c r="C29" s="24" t="s">
        <v>74</v>
      </c>
      <c r="D29" s="9"/>
      <c r="E29" s="20">
        <v>2756.0</v>
      </c>
    </row>
    <row r="30" ht="14.25" customHeight="1">
      <c r="B30" s="22"/>
      <c r="C30" s="23"/>
      <c r="D30" s="9"/>
      <c r="E30" s="21"/>
      <c r="K30" s="12"/>
    </row>
    <row r="31" ht="14.25" customHeight="1">
      <c r="B31" s="22">
        <v>45567.0</v>
      </c>
      <c r="C31" s="11" t="s">
        <v>24</v>
      </c>
      <c r="D31" s="9"/>
      <c r="E31" s="9">
        <v>1500.0</v>
      </c>
      <c r="K31" s="12"/>
    </row>
    <row r="32" ht="14.25" customHeight="1">
      <c r="B32" s="22">
        <v>45567.0</v>
      </c>
      <c r="C32" s="11" t="s">
        <v>25</v>
      </c>
      <c r="D32" s="9"/>
      <c r="E32" s="9">
        <v>500.0</v>
      </c>
    </row>
    <row r="33" ht="14.25" customHeight="1">
      <c r="B33" s="22">
        <v>45577.0</v>
      </c>
      <c r="C33" s="23" t="s">
        <v>75</v>
      </c>
      <c r="D33" s="9"/>
      <c r="E33" s="21">
        <v>11210.0</v>
      </c>
    </row>
    <row r="34" ht="14.25" customHeight="1">
      <c r="B34" s="22">
        <v>45575.0</v>
      </c>
      <c r="C34" s="23" t="s">
        <v>76</v>
      </c>
      <c r="D34" s="9"/>
      <c r="E34" s="21">
        <v>-2000.0</v>
      </c>
    </row>
    <row r="35" ht="14.25" customHeight="1">
      <c r="B35" s="22">
        <v>45590.0</v>
      </c>
      <c r="C35" s="23" t="s">
        <v>42</v>
      </c>
      <c r="D35" s="9"/>
      <c r="E35" s="21">
        <v>1000.0</v>
      </c>
    </row>
    <row r="36" ht="14.25" customHeight="1">
      <c r="B36" s="22">
        <v>45594.0</v>
      </c>
      <c r="C36" s="23" t="s">
        <v>77</v>
      </c>
      <c r="D36" s="9"/>
      <c r="E36" s="21">
        <v>9500.0</v>
      </c>
    </row>
    <row r="37" ht="14.25" customHeight="1">
      <c r="B37" s="11"/>
      <c r="C37" s="5" t="s">
        <v>29</v>
      </c>
      <c r="D37" s="9"/>
      <c r="E37" s="8">
        <f>sum(E31:E36)</f>
        <v>21710</v>
      </c>
    </row>
    <row r="38" ht="14.25" customHeight="1">
      <c r="B38" s="11"/>
      <c r="C38" s="5"/>
      <c r="D38" s="9"/>
      <c r="E38" s="8"/>
    </row>
    <row r="39" ht="14.25" customHeight="1">
      <c r="B39" s="14"/>
      <c r="C39" s="5" t="s">
        <v>30</v>
      </c>
      <c r="D39" s="8">
        <f>E28+E29-E37</f>
        <v>-3954</v>
      </c>
      <c r="E39" s="8"/>
    </row>
    <row r="40" ht="14.25" customHeight="1">
      <c r="B40" s="11"/>
      <c r="C40" s="11"/>
      <c r="D40" s="9"/>
      <c r="E40" s="9"/>
    </row>
    <row r="41" ht="14.25" customHeight="1">
      <c r="B41" s="26">
        <v>45596.0</v>
      </c>
      <c r="C41" s="5" t="s">
        <v>31</v>
      </c>
      <c r="D41" s="8">
        <f>D25</f>
        <v>863592.7</v>
      </c>
      <c r="E41" s="9"/>
    </row>
    <row r="42" ht="14.25" customHeight="1">
      <c r="B42" s="26">
        <v>45596.0</v>
      </c>
      <c r="C42" s="5" t="s">
        <v>32</v>
      </c>
      <c r="D42" s="8">
        <f>D41</f>
        <v>863592.7</v>
      </c>
      <c r="E42" s="9"/>
    </row>
    <row r="43" ht="14.25" customHeight="1"/>
    <row r="44" ht="14.25" customHeight="1">
      <c r="C44" s="25"/>
    </row>
    <row r="45" ht="14.25" customHeight="1">
      <c r="C45" s="27"/>
    </row>
    <row r="46" ht="14.25" customHeight="1"/>
    <row r="47" ht="14.25" customHeight="1">
      <c r="E47" s="17" t="s">
        <v>33</v>
      </c>
    </row>
    <row r="48" ht="14.25" customHeight="1"/>
    <row r="49" ht="14.25" customHeight="1"/>
    <row r="50" ht="14.25" customHeight="1"/>
    <row r="51" ht="14.25" customHeight="1"/>
    <row r="52" ht="14.25" customHeight="1">
      <c r="C52" s="31" t="s">
        <v>78</v>
      </c>
      <c r="D52" s="30"/>
    </row>
    <row r="53" ht="14.25" customHeight="1">
      <c r="C53" s="32" t="s">
        <v>79</v>
      </c>
      <c r="D53" s="32">
        <v>3560.0</v>
      </c>
    </row>
    <row r="54" ht="14.25" customHeight="1">
      <c r="C54" s="32" t="s">
        <v>80</v>
      </c>
      <c r="D54" s="32">
        <v>3150.0</v>
      </c>
    </row>
    <row r="55" ht="14.25" customHeight="1">
      <c r="C55" s="33" t="s">
        <v>81</v>
      </c>
      <c r="D55" s="30"/>
      <c r="I55" s="34"/>
    </row>
    <row r="56" ht="14.25" customHeight="1">
      <c r="C56" s="35" t="s">
        <v>82</v>
      </c>
      <c r="D56" s="32">
        <v>1000.0</v>
      </c>
    </row>
    <row r="57" ht="14.25" customHeight="1">
      <c r="C57" s="35" t="s">
        <v>83</v>
      </c>
      <c r="D57" s="32">
        <v>1000.0</v>
      </c>
    </row>
    <row r="58" ht="14.25" customHeight="1">
      <c r="C58" s="35" t="s">
        <v>84</v>
      </c>
      <c r="D58" s="32">
        <v>1500.0</v>
      </c>
    </row>
    <row r="59" ht="14.25" customHeight="1">
      <c r="C59" s="35" t="s">
        <v>85</v>
      </c>
      <c r="D59" s="32">
        <v>500.0</v>
      </c>
    </row>
    <row r="60" ht="14.25" customHeight="1">
      <c r="C60" s="35" t="s">
        <v>86</v>
      </c>
      <c r="D60" s="32">
        <v>500.0</v>
      </c>
    </row>
    <row r="61" ht="14.25" customHeight="1">
      <c r="C61" s="30"/>
      <c r="D61" s="30"/>
    </row>
    <row r="62" ht="14.25" customHeight="1">
      <c r="C62" s="33" t="s">
        <v>87</v>
      </c>
      <c r="D62" s="36">
        <f>SUM(D53:D60)</f>
        <v>11210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88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45597.0</v>
      </c>
      <c r="C5" s="5" t="s">
        <v>6</v>
      </c>
      <c r="D5" s="8">
        <v>863592.7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863592.7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72800.0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72800</v>
      </c>
      <c r="E12" s="9"/>
    </row>
    <row r="13" ht="14.25" customHeight="1">
      <c r="B13" s="10"/>
      <c r="C13" s="5" t="s">
        <v>13</v>
      </c>
      <c r="D13" s="8">
        <f>D5+D12</f>
        <v>936392.7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>
        <v>45604.0</v>
      </c>
      <c r="C16" s="11" t="s">
        <v>16</v>
      </c>
      <c r="D16" s="21"/>
      <c r="E16" s="21">
        <v>11000.0</v>
      </c>
    </row>
    <row r="17" ht="14.25" customHeight="1">
      <c r="B17" s="22">
        <v>45609.0</v>
      </c>
      <c r="C17" s="23" t="s">
        <v>45</v>
      </c>
      <c r="D17" s="21"/>
      <c r="E17" s="21">
        <v>27500.0</v>
      </c>
    </row>
    <row r="18" ht="14.25" customHeight="1">
      <c r="B18" s="22">
        <v>45618.0</v>
      </c>
      <c r="C18" s="23" t="s">
        <v>56</v>
      </c>
      <c r="D18" s="21"/>
      <c r="E18" s="21">
        <v>7530.0</v>
      </c>
    </row>
    <row r="19" ht="14.25" customHeight="1">
      <c r="B19" s="22">
        <v>45616.0</v>
      </c>
      <c r="C19" s="23" t="s">
        <v>89</v>
      </c>
      <c r="D19" s="21"/>
      <c r="E19" s="21">
        <v>22199.0</v>
      </c>
    </row>
    <row r="20" ht="14.25" customHeight="1">
      <c r="B20" s="22">
        <v>45626.0</v>
      </c>
      <c r="C20" s="23" t="s">
        <v>71</v>
      </c>
      <c r="D20" s="9"/>
      <c r="E20" s="21">
        <v>20000.0</v>
      </c>
    </row>
    <row r="21" ht="14.25" customHeight="1">
      <c r="B21" s="22">
        <v>45613.0</v>
      </c>
      <c r="C21" s="11" t="s">
        <v>17</v>
      </c>
      <c r="D21" s="9"/>
      <c r="E21" s="21">
        <v>9965.0</v>
      </c>
    </row>
    <row r="22" ht="14.25" customHeight="1">
      <c r="B22" s="22">
        <v>45618.0</v>
      </c>
      <c r="C22" s="23" t="s">
        <v>37</v>
      </c>
      <c r="D22" s="9"/>
      <c r="E22" s="21">
        <v>118.0</v>
      </c>
    </row>
    <row r="23" ht="14.25" customHeight="1">
      <c r="B23" s="10"/>
      <c r="C23" s="5"/>
      <c r="D23" s="9"/>
      <c r="E23" s="8"/>
    </row>
    <row r="24" ht="14.25" customHeight="1">
      <c r="B24" s="10"/>
      <c r="C24" s="5" t="s">
        <v>19</v>
      </c>
      <c r="D24" s="9"/>
      <c r="E24" s="8">
        <f>SUM(E16:E22)</f>
        <v>98312</v>
      </c>
    </row>
    <row r="25" ht="14.25" customHeight="1">
      <c r="B25" s="28"/>
      <c r="C25" s="5" t="s">
        <v>20</v>
      </c>
      <c r="D25" s="8">
        <f>D13-E24</f>
        <v>838080.7</v>
      </c>
      <c r="E25" s="9"/>
    </row>
    <row r="26" ht="14.25" customHeight="1">
      <c r="B26" s="10"/>
      <c r="C26" s="5"/>
      <c r="D26" s="8"/>
      <c r="E26" s="9"/>
    </row>
    <row r="27" ht="14.25" customHeight="1">
      <c r="B27" s="10"/>
      <c r="C27" s="5" t="s">
        <v>21</v>
      </c>
      <c r="D27" s="9"/>
      <c r="E27" s="8"/>
    </row>
    <row r="28" ht="14.25" customHeight="1">
      <c r="B28" s="10"/>
      <c r="C28" s="24" t="s">
        <v>90</v>
      </c>
      <c r="D28" s="9"/>
      <c r="E28" s="21">
        <v>20000.0</v>
      </c>
    </row>
    <row r="29" ht="14.25" customHeight="1">
      <c r="B29" s="10"/>
      <c r="C29" s="24" t="s">
        <v>91</v>
      </c>
      <c r="D29" s="9"/>
      <c r="E29" s="20">
        <v>-3954.0</v>
      </c>
    </row>
    <row r="30" ht="14.25" customHeight="1">
      <c r="B30" s="22"/>
      <c r="C30" s="23"/>
      <c r="D30" s="9"/>
      <c r="E30" s="21"/>
      <c r="K30" s="12"/>
    </row>
    <row r="31" ht="14.25" customHeight="1">
      <c r="B31" s="22">
        <v>45598.0</v>
      </c>
      <c r="C31" s="11" t="s">
        <v>24</v>
      </c>
      <c r="D31" s="9"/>
      <c r="E31" s="9">
        <v>1500.0</v>
      </c>
      <c r="K31" s="12"/>
    </row>
    <row r="32" ht="14.25" customHeight="1">
      <c r="B32" s="22">
        <v>45598.0</v>
      </c>
      <c r="C32" s="11" t="s">
        <v>25</v>
      </c>
      <c r="D32" s="9"/>
      <c r="E32" s="9">
        <v>500.0</v>
      </c>
    </row>
    <row r="33" ht="14.25" customHeight="1">
      <c r="B33" s="22">
        <v>45617.0</v>
      </c>
      <c r="C33" s="23" t="s">
        <v>92</v>
      </c>
      <c r="D33" s="9"/>
      <c r="E33" s="21">
        <v>1770.0</v>
      </c>
    </row>
    <row r="34" ht="14.25" customHeight="1">
      <c r="B34" s="22"/>
      <c r="C34" s="23"/>
      <c r="D34" s="9"/>
      <c r="E34" s="21"/>
    </row>
    <row r="35" ht="14.25" customHeight="1">
      <c r="B35" s="7"/>
      <c r="C35" s="11"/>
      <c r="D35" s="9"/>
      <c r="E35" s="9"/>
    </row>
    <row r="36" ht="14.25" customHeight="1">
      <c r="B36" s="11"/>
      <c r="C36" s="5" t="s">
        <v>29</v>
      </c>
      <c r="D36" s="9"/>
      <c r="E36" s="8">
        <f>sum(E31:E34)</f>
        <v>3770</v>
      </c>
    </row>
    <row r="37" ht="14.25" customHeight="1">
      <c r="B37" s="11"/>
      <c r="C37" s="5"/>
      <c r="D37" s="9"/>
      <c r="E37" s="8"/>
    </row>
    <row r="38" ht="14.25" customHeight="1">
      <c r="B38" s="14"/>
      <c r="C38" s="5" t="s">
        <v>30</v>
      </c>
      <c r="D38" s="8">
        <f>E28+E29-E36</f>
        <v>12276</v>
      </c>
      <c r="E38" s="8"/>
    </row>
    <row r="39" ht="14.25" customHeight="1">
      <c r="B39" s="11"/>
      <c r="C39" s="11"/>
      <c r="D39" s="9"/>
      <c r="E39" s="9"/>
    </row>
    <row r="40" ht="14.25" customHeight="1">
      <c r="B40" s="26">
        <v>45626.0</v>
      </c>
      <c r="C40" s="5" t="s">
        <v>31</v>
      </c>
      <c r="D40" s="8">
        <f>D25</f>
        <v>838080.7</v>
      </c>
      <c r="E40" s="9"/>
    </row>
    <row r="41" ht="14.25" customHeight="1">
      <c r="B41" s="26">
        <v>45626.0</v>
      </c>
      <c r="C41" s="5" t="s">
        <v>32</v>
      </c>
      <c r="D41" s="8">
        <f>D40</f>
        <v>838080.7</v>
      </c>
      <c r="E41" s="9"/>
    </row>
    <row r="42" ht="14.25" customHeight="1"/>
    <row r="43" ht="14.25" customHeight="1">
      <c r="C43" s="25"/>
    </row>
    <row r="44" ht="14.25" customHeight="1">
      <c r="C44" s="27"/>
    </row>
    <row r="45" ht="14.25" customHeight="1"/>
    <row r="46" ht="14.25" customHeight="1">
      <c r="E46" s="17" t="s">
        <v>33</v>
      </c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93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45627.0</v>
      </c>
      <c r="C5" s="5" t="s">
        <v>6</v>
      </c>
      <c r="D5" s="20">
        <v>838080.7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838080.7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59800.0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59800</v>
      </c>
      <c r="E12" s="9"/>
    </row>
    <row r="13" ht="14.25" customHeight="1">
      <c r="B13" s="10"/>
      <c r="C13" s="5" t="s">
        <v>13</v>
      </c>
      <c r="D13" s="8">
        <f>D5+D12</f>
        <v>897880.7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>
        <v>45635.0</v>
      </c>
      <c r="C16" s="11" t="s">
        <v>16</v>
      </c>
      <c r="D16" s="9"/>
      <c r="E16" s="21">
        <v>11000.0</v>
      </c>
    </row>
    <row r="17" ht="14.25" customHeight="1">
      <c r="B17" s="22">
        <v>45632.0</v>
      </c>
      <c r="C17" s="23" t="s">
        <v>45</v>
      </c>
      <c r="D17" s="9"/>
      <c r="E17" s="21">
        <v>27500.0</v>
      </c>
    </row>
    <row r="18" ht="14.25" customHeight="1">
      <c r="B18" s="22">
        <v>45644.0</v>
      </c>
      <c r="C18" s="23" t="s">
        <v>56</v>
      </c>
      <c r="D18" s="9"/>
      <c r="E18" s="21">
        <v>7794.0</v>
      </c>
    </row>
    <row r="19" ht="14.25" customHeight="1">
      <c r="B19" s="22">
        <v>45637.0</v>
      </c>
      <c r="C19" s="23" t="s">
        <v>94</v>
      </c>
      <c r="D19" s="9"/>
      <c r="E19" s="21">
        <v>45000.0</v>
      </c>
    </row>
    <row r="20" ht="14.25" customHeight="1">
      <c r="B20" s="22">
        <v>45642.0</v>
      </c>
      <c r="C20" s="23" t="s">
        <v>94</v>
      </c>
      <c r="D20" s="9"/>
      <c r="E20" s="21">
        <v>47000.0</v>
      </c>
    </row>
    <row r="21" ht="14.25" customHeight="1">
      <c r="B21" s="22">
        <v>45643.0</v>
      </c>
      <c r="C21" s="23" t="s">
        <v>94</v>
      </c>
      <c r="D21" s="9"/>
      <c r="E21" s="21">
        <v>23000.0</v>
      </c>
    </row>
    <row r="22" ht="14.25" customHeight="1">
      <c r="B22" s="28">
        <v>45643.0</v>
      </c>
      <c r="C22" s="11" t="s">
        <v>17</v>
      </c>
      <c r="D22" s="9"/>
      <c r="E22" s="21">
        <v>9684.0</v>
      </c>
    </row>
    <row r="23" ht="14.25" customHeight="1">
      <c r="B23" s="10"/>
      <c r="C23" s="5" t="s">
        <v>19</v>
      </c>
      <c r="D23" s="9"/>
      <c r="E23" s="8">
        <f>SUM(E16:E22)</f>
        <v>170978</v>
      </c>
    </row>
    <row r="24" ht="14.25" customHeight="1">
      <c r="B24" s="28"/>
      <c r="C24" s="5" t="s">
        <v>20</v>
      </c>
      <c r="D24" s="8">
        <f>D13-E23</f>
        <v>726902.7</v>
      </c>
      <c r="E24" s="9"/>
    </row>
    <row r="25" ht="14.25" customHeight="1">
      <c r="B25" s="10"/>
      <c r="C25" s="5"/>
      <c r="D25" s="8"/>
      <c r="E25" s="9"/>
    </row>
    <row r="26" ht="14.25" customHeight="1">
      <c r="B26" s="10"/>
      <c r="C26" s="5" t="s">
        <v>21</v>
      </c>
      <c r="D26" s="9"/>
      <c r="E26" s="8"/>
    </row>
    <row r="27" ht="14.25" customHeight="1">
      <c r="B27" s="10"/>
      <c r="C27" s="24" t="s">
        <v>95</v>
      </c>
      <c r="D27" s="9"/>
      <c r="E27" s="21">
        <v>0.0</v>
      </c>
    </row>
    <row r="28" ht="14.25" customHeight="1">
      <c r="B28" s="10"/>
      <c r="C28" s="24" t="s">
        <v>96</v>
      </c>
      <c r="D28" s="9"/>
      <c r="E28" s="20">
        <v>12276.0</v>
      </c>
    </row>
    <row r="29" ht="14.25" customHeight="1">
      <c r="B29" s="22"/>
      <c r="C29" s="23"/>
      <c r="D29" s="9"/>
      <c r="E29" s="21"/>
      <c r="K29" s="12"/>
    </row>
    <row r="30" ht="14.25" customHeight="1">
      <c r="B30" s="22">
        <v>45628.0</v>
      </c>
      <c r="C30" s="11" t="s">
        <v>24</v>
      </c>
      <c r="D30" s="9"/>
      <c r="E30" s="9">
        <v>1500.0</v>
      </c>
      <c r="K30" s="12"/>
    </row>
    <row r="31" ht="14.25" customHeight="1">
      <c r="B31" s="22">
        <v>45628.0</v>
      </c>
      <c r="C31" s="11" t="s">
        <v>25</v>
      </c>
      <c r="D31" s="9"/>
      <c r="E31" s="9">
        <v>500.0</v>
      </c>
    </row>
    <row r="32" ht="14.25" customHeight="1">
      <c r="B32" s="22">
        <v>45643.0</v>
      </c>
      <c r="C32" s="23" t="s">
        <v>97</v>
      </c>
      <c r="D32" s="9"/>
      <c r="E32" s="21">
        <v>2950.0</v>
      </c>
    </row>
    <row r="33" ht="14.25" customHeight="1">
      <c r="B33" s="22"/>
      <c r="C33" s="23"/>
      <c r="D33" s="9"/>
      <c r="E33" s="21"/>
    </row>
    <row r="34" ht="14.25" customHeight="1">
      <c r="B34" s="7"/>
      <c r="C34" s="11"/>
      <c r="D34" s="9"/>
      <c r="E34" s="9"/>
    </row>
    <row r="35" ht="14.25" customHeight="1">
      <c r="B35" s="11"/>
      <c r="C35" s="5" t="s">
        <v>29</v>
      </c>
      <c r="D35" s="9"/>
      <c r="E35" s="8">
        <f>sum(E30:E33)</f>
        <v>4950</v>
      </c>
    </row>
    <row r="36" ht="14.25" customHeight="1">
      <c r="B36" s="11"/>
      <c r="C36" s="5"/>
      <c r="D36" s="9"/>
      <c r="E36" s="8"/>
    </row>
    <row r="37" ht="14.25" customHeight="1">
      <c r="B37" s="14"/>
      <c r="C37" s="5" t="s">
        <v>30</v>
      </c>
      <c r="D37" s="8">
        <f>E27+E28-E35</f>
        <v>7326</v>
      </c>
      <c r="E37" s="8"/>
    </row>
    <row r="38" ht="14.25" customHeight="1">
      <c r="B38" s="11"/>
      <c r="C38" s="11"/>
      <c r="D38" s="9"/>
      <c r="E38" s="9"/>
    </row>
    <row r="39" ht="14.25" customHeight="1">
      <c r="B39" s="26">
        <v>45657.0</v>
      </c>
      <c r="C39" s="5" t="s">
        <v>31</v>
      </c>
      <c r="D39" s="8">
        <f>D24</f>
        <v>726902.7</v>
      </c>
      <c r="E39" s="9"/>
    </row>
    <row r="40" ht="14.25" customHeight="1">
      <c r="B40" s="26">
        <v>45657.0</v>
      </c>
      <c r="C40" s="5" t="s">
        <v>32</v>
      </c>
      <c r="D40" s="8">
        <f>D39</f>
        <v>726902.7</v>
      </c>
      <c r="E40" s="9"/>
    </row>
    <row r="41" ht="14.25" customHeight="1"/>
    <row r="42" ht="14.25" customHeight="1">
      <c r="C42" s="25"/>
    </row>
    <row r="43" ht="14.25" customHeight="1">
      <c r="C43" s="27"/>
    </row>
    <row r="44" ht="14.25" customHeight="1"/>
    <row r="45" ht="14.25" customHeight="1">
      <c r="E45" s="17" t="s">
        <v>33</v>
      </c>
    </row>
    <row r="46" ht="14.25" customHeight="1"/>
    <row r="47" ht="14.25" customHeight="1"/>
    <row r="48" ht="14.25" customHeight="1"/>
    <row r="49" ht="14.25" customHeight="1">
      <c r="C49" s="37" t="s">
        <v>98</v>
      </c>
      <c r="D49" s="3"/>
    </row>
    <row r="50" ht="14.25" customHeight="1">
      <c r="C50" s="32" t="s">
        <v>99</v>
      </c>
      <c r="D50" s="30">
        <f>47000+45000+23000</f>
        <v>115000</v>
      </c>
    </row>
    <row r="51" ht="14.25" customHeight="1">
      <c r="C51" s="32" t="s">
        <v>100</v>
      </c>
      <c r="D51" s="32">
        <v>3100.0</v>
      </c>
    </row>
    <row r="52" ht="14.25" customHeight="1">
      <c r="C52" s="32" t="s">
        <v>101</v>
      </c>
      <c r="D52" s="32">
        <v>600.0</v>
      </c>
    </row>
    <row r="53" ht="14.25" customHeight="1">
      <c r="C53" s="32" t="s">
        <v>102</v>
      </c>
      <c r="D53" s="32">
        <v>-1400.0</v>
      </c>
    </row>
    <row r="54" ht="14.25" customHeight="1">
      <c r="C54" s="32" t="s">
        <v>103</v>
      </c>
      <c r="D54" s="32">
        <v>650.0</v>
      </c>
    </row>
    <row r="55" ht="14.25" customHeight="1">
      <c r="C55" s="32" t="s">
        <v>87</v>
      </c>
      <c r="D55" s="36">
        <f>SUM(D50:D54)</f>
        <v>117950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">
    <mergeCell ref="B2:E2"/>
    <mergeCell ref="B3:E3"/>
    <mergeCell ref="C49:D49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37.29"/>
    <col customWidth="1" min="4" max="4" width="25.29"/>
    <col customWidth="1" min="5" max="5" width="17.0"/>
    <col customWidth="1" min="6" max="26" width="8.71"/>
  </cols>
  <sheetData>
    <row r="1" ht="14.25" customHeight="1"/>
    <row r="2" ht="14.25" customHeight="1">
      <c r="B2" s="1" t="s">
        <v>0</v>
      </c>
      <c r="C2" s="2"/>
      <c r="D2" s="2"/>
      <c r="E2" s="3"/>
    </row>
    <row r="3" ht="14.25" customHeight="1">
      <c r="B3" s="19" t="s">
        <v>104</v>
      </c>
      <c r="C3" s="2"/>
      <c r="D3" s="2"/>
      <c r="E3" s="3"/>
    </row>
    <row r="4" ht="14.25" customHeight="1">
      <c r="B4" s="5" t="s">
        <v>2</v>
      </c>
      <c r="C4" s="5" t="s">
        <v>3</v>
      </c>
      <c r="D4" s="6" t="s">
        <v>4</v>
      </c>
      <c r="E4" s="6" t="s">
        <v>5</v>
      </c>
    </row>
    <row r="5" ht="14.25" customHeight="1">
      <c r="B5" s="28">
        <v>45658.0</v>
      </c>
      <c r="C5" s="5" t="s">
        <v>6</v>
      </c>
      <c r="D5" s="20">
        <v>838080.7</v>
      </c>
      <c r="E5" s="9"/>
    </row>
    <row r="6" ht="14.25" customHeight="1">
      <c r="B6" s="10"/>
      <c r="C6" s="11" t="s">
        <v>7</v>
      </c>
      <c r="D6" s="21">
        <v>0.0</v>
      </c>
      <c r="E6" s="9"/>
    </row>
    <row r="7" ht="14.25" customHeight="1">
      <c r="B7" s="10"/>
      <c r="C7" s="11" t="s">
        <v>8</v>
      </c>
      <c r="D7" s="9">
        <f>D5-D6</f>
        <v>838080.7</v>
      </c>
      <c r="E7" s="9"/>
    </row>
    <row r="8" ht="14.25" customHeight="1">
      <c r="B8" s="10"/>
      <c r="C8" s="11"/>
      <c r="D8" s="9"/>
      <c r="E8" s="9"/>
    </row>
    <row r="9" ht="14.25" customHeight="1">
      <c r="B9" s="10"/>
      <c r="C9" s="5" t="s">
        <v>9</v>
      </c>
      <c r="D9" s="9"/>
      <c r="E9" s="9"/>
    </row>
    <row r="10" ht="14.25" customHeight="1">
      <c r="B10" s="10"/>
      <c r="C10" s="11" t="s">
        <v>10</v>
      </c>
      <c r="D10" s="21">
        <v>65000.0</v>
      </c>
      <c r="E10" s="9"/>
    </row>
    <row r="11" ht="14.25" customHeight="1">
      <c r="B11" s="10"/>
      <c r="C11" s="11"/>
      <c r="D11" s="9"/>
      <c r="E11" s="9"/>
    </row>
    <row r="12" ht="14.25" customHeight="1">
      <c r="B12" s="10"/>
      <c r="C12" s="5" t="s">
        <v>12</v>
      </c>
      <c r="D12" s="8">
        <f>SUM(D10)</f>
        <v>65000</v>
      </c>
      <c r="E12" s="9"/>
    </row>
    <row r="13" ht="14.25" customHeight="1">
      <c r="B13" s="10"/>
      <c r="C13" s="5" t="s">
        <v>13</v>
      </c>
      <c r="D13" s="8">
        <f>D5+D12</f>
        <v>903080.7</v>
      </c>
      <c r="E13" s="9"/>
    </row>
    <row r="14" ht="14.25" customHeight="1">
      <c r="B14" s="10"/>
      <c r="C14" s="11"/>
      <c r="D14" s="9"/>
      <c r="E14" s="9"/>
    </row>
    <row r="15" ht="14.25" customHeight="1">
      <c r="B15" s="10"/>
      <c r="C15" s="5" t="s">
        <v>14</v>
      </c>
      <c r="D15" s="9"/>
      <c r="E15" s="9"/>
    </row>
    <row r="16" ht="14.25" customHeight="1">
      <c r="B16" s="22"/>
      <c r="C16" s="23"/>
      <c r="D16" s="9"/>
      <c r="E16" s="21"/>
    </row>
    <row r="17" ht="14.25" customHeight="1">
      <c r="B17" s="22"/>
      <c r="C17" s="11"/>
      <c r="D17" s="9"/>
      <c r="E17" s="21"/>
    </row>
    <row r="18" ht="14.25" customHeight="1">
      <c r="B18" s="22"/>
      <c r="C18" s="23"/>
      <c r="D18" s="9"/>
      <c r="E18" s="21"/>
    </row>
    <row r="19" ht="14.25" customHeight="1">
      <c r="B19" s="22"/>
      <c r="C19" s="23"/>
      <c r="D19" s="9"/>
      <c r="E19" s="21"/>
    </row>
    <row r="20" ht="14.25" customHeight="1">
      <c r="B20" s="22"/>
      <c r="C20" s="23"/>
      <c r="D20" s="9"/>
      <c r="E20" s="21"/>
    </row>
    <row r="21" ht="14.25" customHeight="1">
      <c r="B21" s="22"/>
      <c r="C21" s="11"/>
      <c r="D21" s="9"/>
      <c r="E21" s="21"/>
    </row>
    <row r="22" ht="14.25" customHeight="1">
      <c r="B22" s="10"/>
      <c r="C22" s="5"/>
      <c r="D22" s="9"/>
      <c r="E22" s="8"/>
    </row>
    <row r="23" ht="14.25" customHeight="1">
      <c r="B23" s="10"/>
      <c r="C23" s="5" t="s">
        <v>19</v>
      </c>
      <c r="D23" s="9"/>
      <c r="E23" s="8">
        <f>SUM(E16:E21)</f>
        <v>0</v>
      </c>
    </row>
    <row r="24" ht="14.25" customHeight="1">
      <c r="B24" s="28"/>
      <c r="C24" s="5" t="s">
        <v>20</v>
      </c>
      <c r="D24" s="8">
        <f>D13-E23</f>
        <v>903080.7</v>
      </c>
      <c r="E24" s="9"/>
    </row>
    <row r="25" ht="14.25" customHeight="1">
      <c r="B25" s="10"/>
      <c r="C25" s="5"/>
      <c r="D25" s="8"/>
      <c r="E25" s="9"/>
    </row>
    <row r="26" ht="14.25" customHeight="1">
      <c r="B26" s="10"/>
      <c r="C26" s="5" t="s">
        <v>21</v>
      </c>
      <c r="D26" s="9"/>
      <c r="E26" s="8"/>
    </row>
    <row r="27" ht="14.25" customHeight="1">
      <c r="B27" s="10"/>
      <c r="C27" s="24" t="s">
        <v>105</v>
      </c>
      <c r="D27" s="9"/>
      <c r="E27" s="21">
        <v>0.0</v>
      </c>
    </row>
    <row r="28" ht="14.25" customHeight="1">
      <c r="B28" s="10"/>
      <c r="C28" s="24" t="s">
        <v>106</v>
      </c>
      <c r="D28" s="9"/>
      <c r="E28" s="20">
        <v>4950.0</v>
      </c>
    </row>
    <row r="29" ht="14.25" customHeight="1">
      <c r="B29" s="22"/>
      <c r="C29" s="23"/>
      <c r="D29" s="9"/>
      <c r="E29" s="21"/>
      <c r="K29" s="12"/>
    </row>
    <row r="30" ht="14.25" customHeight="1">
      <c r="B30" s="22">
        <v>45659.0</v>
      </c>
      <c r="C30" s="11" t="s">
        <v>24</v>
      </c>
      <c r="D30" s="9"/>
      <c r="E30" s="9">
        <v>1500.0</v>
      </c>
      <c r="K30" s="12"/>
    </row>
    <row r="31" ht="14.25" customHeight="1">
      <c r="B31" s="22">
        <v>45659.0</v>
      </c>
      <c r="C31" s="11" t="s">
        <v>25</v>
      </c>
      <c r="D31" s="9"/>
      <c r="E31" s="9">
        <v>500.0</v>
      </c>
    </row>
    <row r="32" ht="14.25" customHeight="1">
      <c r="B32" s="22"/>
      <c r="C32" s="23"/>
      <c r="D32" s="9"/>
      <c r="E32" s="21"/>
    </row>
    <row r="33" ht="14.25" customHeight="1">
      <c r="B33" s="22"/>
      <c r="C33" s="23"/>
      <c r="D33" s="9"/>
      <c r="E33" s="21"/>
    </row>
    <row r="34" ht="14.25" customHeight="1">
      <c r="B34" s="7"/>
      <c r="C34" s="11"/>
      <c r="D34" s="9"/>
      <c r="E34" s="9"/>
    </row>
    <row r="35" ht="14.25" customHeight="1">
      <c r="B35" s="11"/>
      <c r="C35" s="5" t="s">
        <v>29</v>
      </c>
      <c r="D35" s="9"/>
      <c r="E35" s="8">
        <f>sum(E30:E33)</f>
        <v>2000</v>
      </c>
    </row>
    <row r="36" ht="14.25" customHeight="1">
      <c r="B36" s="11"/>
      <c r="C36" s="5"/>
      <c r="D36" s="9"/>
      <c r="E36" s="8"/>
    </row>
    <row r="37" ht="14.25" customHeight="1">
      <c r="B37" s="14"/>
      <c r="C37" s="5" t="s">
        <v>30</v>
      </c>
      <c r="D37" s="8">
        <f>E27+E28-E35</f>
        <v>2950</v>
      </c>
      <c r="E37" s="8"/>
    </row>
    <row r="38" ht="14.25" customHeight="1">
      <c r="B38" s="11"/>
      <c r="C38" s="11"/>
      <c r="D38" s="9"/>
      <c r="E38" s="9"/>
    </row>
    <row r="39" ht="14.25" customHeight="1">
      <c r="B39" s="26">
        <v>45688.0</v>
      </c>
      <c r="C39" s="5" t="s">
        <v>31</v>
      </c>
      <c r="D39" s="8">
        <f>D24</f>
        <v>903080.7</v>
      </c>
      <c r="E39" s="9"/>
    </row>
    <row r="40" ht="14.25" customHeight="1">
      <c r="B40" s="26">
        <v>45688.0</v>
      </c>
      <c r="C40" s="5" t="s">
        <v>32</v>
      </c>
      <c r="D40" s="8">
        <f>D39</f>
        <v>903080.7</v>
      </c>
      <c r="E40" s="9"/>
    </row>
    <row r="41" ht="14.25" customHeight="1"/>
    <row r="42" ht="14.25" customHeight="1">
      <c r="C42" s="25"/>
    </row>
    <row r="43" ht="14.25" customHeight="1">
      <c r="C43" s="27"/>
    </row>
    <row r="44" ht="14.25" customHeight="1"/>
    <row r="45" ht="14.25" customHeight="1">
      <c r="E45" s="17" t="s">
        <v>33</v>
      </c>
    </row>
    <row r="46" ht="14.25" customHeight="1"/>
    <row r="47" ht="14.25" customHeight="1"/>
    <row r="48" ht="14.25" customHeight="1"/>
    <row r="49" ht="14.25" customHeight="1">
      <c r="C49" s="13" t="s">
        <v>107</v>
      </c>
    </row>
    <row r="50" ht="14.25" customHeight="1">
      <c r="C50" s="13" t="s">
        <v>108</v>
      </c>
      <c r="D50" s="13">
        <v>-18500.0</v>
      </c>
    </row>
    <row r="51" ht="14.25" customHeight="1">
      <c r="C51" s="13" t="s">
        <v>109</v>
      </c>
      <c r="D51" s="13">
        <v>24375.0</v>
      </c>
    </row>
    <row r="52" ht="14.25" customHeight="1">
      <c r="C52" s="13" t="s">
        <v>110</v>
      </c>
      <c r="D52" s="13">
        <v>8000.0</v>
      </c>
    </row>
    <row r="53" ht="14.25" customHeight="1">
      <c r="C53" s="13" t="s">
        <v>111</v>
      </c>
      <c r="D53" s="13">
        <v>6500.0</v>
      </c>
    </row>
    <row r="54" ht="14.25" customHeight="1">
      <c r="C54" s="13" t="s">
        <v>112</v>
      </c>
      <c r="D54" s="13">
        <v>1200.0</v>
      </c>
    </row>
    <row r="55" ht="14.25" customHeight="1"/>
    <row r="56" ht="14.25" customHeight="1">
      <c r="C56" s="13" t="s">
        <v>87</v>
      </c>
      <c r="D56" s="15">
        <f>SUM(D50:D54)</f>
        <v>21575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2">
    <mergeCell ref="B2:E2"/>
    <mergeCell ref="B3:E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2024-05-11T03:48:29Z</dcterms:created>
  <dc:creator>SN, Srikanth</dc:creator>
</cp:coreProperties>
</file>