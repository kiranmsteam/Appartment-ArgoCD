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rikssn\Documents\pers\HCP2\Sriks_frm_Jul22\"/>
    </mc:Choice>
  </mc:AlternateContent>
  <xr:revisionPtr revIDLastSave="0" documentId="13_ncr:1_{1E50CAF2-DC15-4CE4-9281-5EBAF6DF1370}" xr6:coauthVersionLast="47" xr6:coauthVersionMax="47" xr10:uidLastSave="{00000000-0000-0000-0000-000000000000}"/>
  <bookViews>
    <workbookView xWindow="-120" yWindow="-120" windowWidth="29040" windowHeight="17640" tabRatio="804" activeTab="11" xr2:uid="{00000000-000D-0000-FFFF-FFFF00000000}"/>
  </bookViews>
  <sheets>
    <sheet name="April 2023" sheetId="2" r:id="rId1"/>
    <sheet name="May 2023" sheetId="3" r:id="rId2"/>
    <sheet name="June 2023" sheetId="4" r:id="rId3"/>
    <sheet name="July2023" sheetId="5" r:id="rId4"/>
    <sheet name="Aug2023" sheetId="6" r:id="rId5"/>
    <sheet name="Sep2023" sheetId="7" r:id="rId6"/>
    <sheet name="Oct2023" sheetId="8" r:id="rId7"/>
    <sheet name="Nov2023" sheetId="9" r:id="rId8"/>
    <sheet name="Dec2023" sheetId="10" r:id="rId9"/>
    <sheet name="Jan2024" sheetId="11" r:id="rId10"/>
    <sheet name="Feb2024" sheetId="12" r:id="rId11"/>
    <sheet name="Mar2024" sheetId="13" r:id="rId12"/>
  </sheets>
  <definedNames>
    <definedName name="_xlnm.Print_Area" localSheetId="11">'Mar2024'!$B$2:$E$61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13" l="1"/>
  <c r="D16" i="13"/>
  <c r="D53" i="13"/>
  <c r="E30" i="13"/>
  <c r="D49" i="12"/>
  <c r="D17" i="12" l="1"/>
  <c r="D18" i="12" s="1"/>
  <c r="D7" i="11"/>
  <c r="D39" i="11"/>
  <c r="E26" i="11"/>
  <c r="D35" i="10"/>
  <c r="D37" i="9"/>
  <c r="E26" i="10"/>
  <c r="E35" i="9"/>
  <c r="E37" i="8" l="1"/>
  <c r="E26" i="5"/>
  <c r="D9" i="5"/>
  <c r="D6" i="5"/>
  <c r="D35" i="4"/>
  <c r="D6" i="2"/>
  <c r="D13" i="2" l="1"/>
  <c r="D17" i="13" l="1"/>
  <c r="D7" i="13"/>
  <c r="D7" i="12"/>
  <c r="D12" i="2"/>
  <c r="E26" i="12"/>
  <c r="E37" i="11"/>
  <c r="D14" i="11"/>
  <c r="D15" i="11" s="1"/>
  <c r="E33" i="10"/>
  <c r="E23" i="10"/>
  <c r="D13" i="10"/>
  <c r="D14" i="10" s="1"/>
  <c r="D6" i="10"/>
  <c r="E22" i="9"/>
  <c r="D12" i="9"/>
  <c r="D13" i="9" s="1"/>
  <c r="D6" i="9"/>
  <c r="E23" i="8"/>
  <c r="D11" i="8"/>
  <c r="D12" i="8" s="1"/>
  <c r="D6" i="8"/>
  <c r="E35" i="7"/>
  <c r="E24" i="7"/>
  <c r="D11" i="7"/>
  <c r="D12" i="7" s="1"/>
  <c r="D6" i="7"/>
  <c r="E35" i="6"/>
  <c r="E22" i="6"/>
  <c r="D13" i="6"/>
  <c r="D14" i="6" s="1"/>
  <c r="D23" i="6" s="1"/>
  <c r="D39" i="6" s="1"/>
  <c r="D40" i="6" s="1"/>
  <c r="D6" i="6"/>
  <c r="E23" i="5"/>
  <c r="D40" i="5"/>
  <c r="E35" i="5"/>
  <c r="D13" i="5"/>
  <c r="D14" i="5" s="1"/>
  <c r="D13" i="4"/>
  <c r="E23" i="4"/>
  <c r="D31" i="13" l="1"/>
  <c r="D55" i="13" s="1"/>
  <c r="D56" i="13" s="1"/>
  <c r="D27" i="12"/>
  <c r="D51" i="12" s="1"/>
  <c r="D52" i="12" s="1"/>
  <c r="D24" i="5"/>
  <c r="D27" i="11"/>
  <c r="D41" i="11" s="1"/>
  <c r="D42" i="11" s="1"/>
  <c r="D24" i="10"/>
  <c r="D37" i="10" s="1"/>
  <c r="D38" i="10" s="1"/>
  <c r="D23" i="9"/>
  <c r="D39" i="9" s="1"/>
  <c r="D40" i="9" s="1"/>
  <c r="D24" i="8"/>
  <c r="D41" i="8" s="1"/>
  <c r="D42" i="8" s="1"/>
  <c r="D25" i="7"/>
  <c r="D38" i="4"/>
  <c r="E33" i="4"/>
  <c r="D14" i="4"/>
  <c r="D6" i="4"/>
  <c r="D39" i="7" l="1"/>
  <c r="D40" i="7" s="1"/>
  <c r="D24" i="4"/>
  <c r="E36" i="2"/>
  <c r="E25" i="3" l="1"/>
  <c r="E33" i="3"/>
  <c r="D11" i="3"/>
  <c r="D12" i="3" s="1"/>
  <c r="D6" i="3"/>
  <c r="D26" i="3" l="1"/>
  <c r="D37" i="3" s="1"/>
  <c r="D38" i="3" s="1"/>
  <c r="E23" i="2"/>
  <c r="D24" i="2" l="1"/>
  <c r="D40" i="2" s="1"/>
  <c r="D41" i="2" s="1"/>
</calcChain>
</file>

<file path=xl/sharedStrings.xml><?xml version="1.0" encoding="utf-8"?>
<sst xmlns="http://schemas.openxmlformats.org/spreadsheetml/2006/main" count="427" uniqueCount="147">
  <si>
    <t>Hitech Citadel Phase 2 Flat Owners Association</t>
  </si>
  <si>
    <t>Date</t>
  </si>
  <si>
    <t>Details</t>
  </si>
  <si>
    <t>Amount  Collected/Balance</t>
  </si>
  <si>
    <t>Expenses Amount</t>
  </si>
  <si>
    <t>Opening Balance in Bank</t>
  </si>
  <si>
    <t>Corpus Amount</t>
  </si>
  <si>
    <t>Expense Available in Bank</t>
  </si>
  <si>
    <t>Collection</t>
  </si>
  <si>
    <t>Monthly Expense Contribution</t>
  </si>
  <si>
    <t>Sub Total</t>
  </si>
  <si>
    <t>Total of A</t>
  </si>
  <si>
    <t>Expenditure Paid by Cheque</t>
  </si>
  <si>
    <t>BESCOM</t>
  </si>
  <si>
    <t>BWSSB(Bangalore Oe)</t>
  </si>
  <si>
    <t>Security Salary</t>
  </si>
  <si>
    <t>Total of B</t>
  </si>
  <si>
    <t>Closing Balance (A-B)</t>
  </si>
  <si>
    <t>Cash Expense</t>
  </si>
  <si>
    <t>Garbage</t>
  </si>
  <si>
    <t>Additional Pay to C.Reddy</t>
  </si>
  <si>
    <t>Total of C</t>
  </si>
  <si>
    <t>Cash in Hand</t>
  </si>
  <si>
    <t>Closing Balance</t>
  </si>
  <si>
    <t>Balance in Bank with Corpus Amount</t>
  </si>
  <si>
    <t xml:space="preserve">Treasurer </t>
  </si>
  <si>
    <t>KBL Account Maintenance Charges</t>
  </si>
  <si>
    <t>Petty cash</t>
  </si>
  <si>
    <t>Housekeeping Salary(Mariswamy)</t>
  </si>
  <si>
    <t>Corpus Fund by Sohan - RS1</t>
  </si>
  <si>
    <t>BWSSB(Bangalore One)</t>
  </si>
  <si>
    <t>Additional Cash Pay to C.Reddy</t>
  </si>
  <si>
    <t>Cash withdrawal towards association petty expenses</t>
  </si>
  <si>
    <t>Towards Garage Collection</t>
  </si>
  <si>
    <t>Pooja materials, Sweets for Ayudha puja</t>
  </si>
  <si>
    <t>Annual maintenance renewal with  Bharat Elevators  for the year 2022-23</t>
  </si>
  <si>
    <t xml:space="preserve">Cash in Hand </t>
  </si>
  <si>
    <t xml:space="preserve">Towards borewell lifting vehicle &amp; fitment of old borewell. </t>
  </si>
  <si>
    <t>Monthly Collection&amp;Expenditure Details - April 2023</t>
  </si>
  <si>
    <t>Towards Galvanizing of Bore-well tank</t>
  </si>
  <si>
    <t>Towards labor charges to plumber for fixing of Bore-well tank</t>
  </si>
  <si>
    <t>Towards purchase of pipes, Gate valve, T bends, Bend, Solvent, Teflon tape for Borewell repair</t>
  </si>
  <si>
    <t>Fixing of Cauvery motor pipes, labor + Accessories</t>
  </si>
  <si>
    <t>Towards cleaning of 2 chambers of Kempegowda block which was blocked</t>
  </si>
  <si>
    <t>Monthly Collection&amp;Expenditure Details - May 2023</t>
  </si>
  <si>
    <t>Account Statement charges</t>
  </si>
  <si>
    <t>DTELL Solutions (CCTV Service charges)</t>
  </si>
  <si>
    <t>Bharat Elevators (Lift half yearly maintaince charges)</t>
  </si>
  <si>
    <t>Purchase of Phenoyl &amp; Bleach powder</t>
  </si>
  <si>
    <t>Payment to Uma Reddy (Cleared old bills of Cauvery Motor Re-winding + the Repair of Borewell motor)</t>
  </si>
  <si>
    <t>Purchase of LED Bulbs 9W (4 No's)</t>
  </si>
  <si>
    <t>Generator Usage (RG3)</t>
  </si>
  <si>
    <t>Inward Reject charges (Related to BWSSB Cheque)</t>
  </si>
  <si>
    <t>BESCOM (ECS not processed by BESCOM Side, Upon inquiry at Bank &amp; at BESCOM, BESCOM said it was delayed by their side &amp; it got cleared in July month)- No issues with ECS</t>
  </si>
  <si>
    <t>CASH IN HAND as of June Month</t>
  </si>
  <si>
    <t>Borewell issue (Old borewell replaced with New Borewell)- Van lifting &amp; Fitment charges</t>
  </si>
  <si>
    <t xml:space="preserve">Cash Expense </t>
  </si>
  <si>
    <t>BWSSB(Bangalore One) - Cheque was returned for some issues. Upon inquiry with BWSSB &amp; Bank, we have paid for June &amp; July by cheque &amp; shall reflect in July statement)</t>
  </si>
  <si>
    <t>Monthly Collection&amp;Expenditure Details - June 2023</t>
  </si>
  <si>
    <t>Monthly Collection&amp;Expenditure Details - July 2023</t>
  </si>
  <si>
    <t>BESCOM (June23 Month, ECS happened on 8th July 23)</t>
  </si>
  <si>
    <t>BESCOM (July23 Month)</t>
  </si>
  <si>
    <t>CASH IN HAND as of July Month</t>
  </si>
  <si>
    <t>Quarterly AGM Expenses (Breakfast, Chairs,tables &amp; Transport)</t>
  </si>
  <si>
    <t>To Mariswamy towards purchase of Groom Sticks</t>
  </si>
  <si>
    <t>Towards repair of Secuirty Room Door</t>
  </si>
  <si>
    <t>Monthly Collection&amp;Expenditure Details - August 2023</t>
  </si>
  <si>
    <t>Replacement of Valve + Pipes at Vishweshwariah Block to resolve water leakage issue</t>
  </si>
  <si>
    <t>CASH IN HAND as of August' 23 Month</t>
  </si>
  <si>
    <t>Monthly Collection&amp;Expenditure Details - September 2023</t>
  </si>
  <si>
    <t>MICR CHARGES</t>
  </si>
  <si>
    <t>Cash withdrawal for Association Expenses</t>
  </si>
  <si>
    <t>Alpha Generator Services, AMC</t>
  </si>
  <si>
    <t>CASH IN HAND as of September' 23 Month</t>
  </si>
  <si>
    <t>Garbage Charges</t>
  </si>
  <si>
    <t>Additional Cash Pay to Security Reddy</t>
  </si>
  <si>
    <t>Purchase of Utensils for House Keeping (Phenyl)</t>
  </si>
  <si>
    <t>CASH IN HAND as of October' 23 Month</t>
  </si>
  <si>
    <t>Cash Bonus to BESCOM Personals for Dasara</t>
  </si>
  <si>
    <t>Cash Bonus to Garbage collector</t>
  </si>
  <si>
    <t>Festival bonus to Hous-keeping Mariswamy, Security Guards -2 (Rs.1000 each)</t>
  </si>
  <si>
    <t>Monthly Collection&amp;Expenditure Details - October 2023</t>
  </si>
  <si>
    <t>Monthly Collection&amp;Expenditure Details - November 2023</t>
  </si>
  <si>
    <t>Payment to SUBHASH K (BERGER PAINTS) towards 10% advance towards painting work</t>
  </si>
  <si>
    <t>Corpus amount pais by Ramesh VS3</t>
  </si>
  <si>
    <t>CASH IN HAND as of November' 23 Month</t>
  </si>
  <si>
    <t>Mop + Broom stick purchase</t>
  </si>
  <si>
    <t>Lock for Thimmiah House</t>
  </si>
  <si>
    <t>Special AGM Expenses (Towards Chairs, tables, refreshments)</t>
  </si>
  <si>
    <t>Vishweshwariah block terrrace door repair</t>
  </si>
  <si>
    <t>Monthly Collection&amp;Expenditure Details - December 2023</t>
  </si>
  <si>
    <t>Corpus Amount paid by Sohan</t>
  </si>
  <si>
    <t>CASH IN HAND as of December' 23 Month</t>
  </si>
  <si>
    <t>Monthly Collection&amp;Expenditure Details - January 2024</t>
  </si>
  <si>
    <t>Towards Contract for Buidling the Wall adjacent to Dran on KG Block &amp; Concreting the surface on the passage for Vishweshwariah block, filing up of small pits at the basement. Paid to Marlingappa Masheshappa</t>
  </si>
  <si>
    <t>Paid to Marlingappa Maheshappa</t>
  </si>
  <si>
    <t>Paid to L.Kanakdass (Auditor fees, towards audit for 5 Years (FY-18 to FY23)</t>
  </si>
  <si>
    <t>CASH IN HAND as of January' 24 Month</t>
  </si>
  <si>
    <t>LED Bulb 4 No's</t>
  </si>
  <si>
    <t>Housekeeping Salary (Mariswamy)</t>
  </si>
  <si>
    <t>Monthly Collection&amp;Expenditure Details - Febraury 2024</t>
  </si>
  <si>
    <t>Corpus Amount Paid by Shylaja KS3</t>
  </si>
  <si>
    <t>Corpus Amount Paid by Mr. Nayak KF1</t>
  </si>
  <si>
    <t>Contribution by Nikhil KS2 towards water</t>
  </si>
  <si>
    <t>CASH IN HAND as of Feb' 24 Month</t>
  </si>
  <si>
    <t>Liquidation of FD's for Borewell Expenses which came up as immediate requirement</t>
  </si>
  <si>
    <t>Water Level check through camera for Borewell</t>
  </si>
  <si>
    <t>Buying for 100meter water pipe for filling up Sump</t>
  </si>
  <si>
    <t>Plumbing work for VS Block (Connecting cauvery &amp; Borewell tank with Valve)</t>
  </si>
  <si>
    <t>Plumbing work for RG Block (Connecting cauvery &amp; Borewell tank with Valve)</t>
  </si>
  <si>
    <t>Labor for clearing 3feet area for Re-Bore requirements</t>
  </si>
  <si>
    <t xml:space="preserve">Ex-Joint Director of Geology (Mr.Subramani's Visit) for Borewell point. </t>
  </si>
  <si>
    <t>Buying of Flask for refreshments</t>
  </si>
  <si>
    <t>Borewell Point check by Person-1</t>
  </si>
  <si>
    <t>Borewell Point check by Person-2</t>
  </si>
  <si>
    <t>Buying of tubelight, Holders &amp; ten electrical bulbs for basement fitment</t>
  </si>
  <si>
    <t>Buying of 5 litre pheynol towards common area cleaning</t>
  </si>
  <si>
    <t>Monthly Collection&amp;Expenditure Details - March 2024</t>
  </si>
  <si>
    <t>Corupus Amount paid by Aneesh V Naik</t>
  </si>
  <si>
    <t>Arrears cleared by RS2 (Sharan Patil)</t>
  </si>
  <si>
    <t>Payment to Security Agency</t>
  </si>
  <si>
    <t>Payment to Housekeeping (Mariswamy)</t>
  </si>
  <si>
    <t>Cash Withdrawal for Payment to Borewell Agency</t>
  </si>
  <si>
    <t>Payment to Marlingappa Malleshappa for cleaning up of Silt from Borewell, Borewell Side wall construction, cleaning up of Storm water drain canal, Filling up of pits at the basement</t>
  </si>
  <si>
    <t>Payment to Bescom</t>
  </si>
  <si>
    <t>Cash withdrawal for Misc Expenses (Borewell Pipes, Electrical wires, Borewell van, Electrical work labor, etc)</t>
  </si>
  <si>
    <t>Payment to Sri Ganesh Enterprises towards Borewell water pipe &amp; Electrical wires</t>
  </si>
  <si>
    <t>Payment to BWSSB</t>
  </si>
  <si>
    <t>Payment to SK Enterprises (Berger Paints) 88% Payment is made to them.</t>
  </si>
  <si>
    <t>Cash Carry Forward from Feb 24</t>
  </si>
  <si>
    <t>Cash Withdrawal in Mar 24</t>
  </si>
  <si>
    <t>Towards Garbage Collection</t>
  </si>
  <si>
    <t>Cash Payment to Plumber Srinivas Reddy to fix Common Sanitary pipe joint at KG Block</t>
  </si>
  <si>
    <t>Advance towards Borewell Digging</t>
  </si>
  <si>
    <t>Final Settlement towards Borewell (Towards Labor, Filter Pipes, etc)</t>
  </si>
  <si>
    <t>Towards Jute Sag for Borewell</t>
  </si>
  <si>
    <t>Towards Police tips (as Neighbors had riased compliant)</t>
  </si>
  <si>
    <t>Towards 40W LED Tubelight near Borewell Dig Area (Kushi Electricals)</t>
  </si>
  <si>
    <t>Cash Payment to Marlingappa after completing of work</t>
  </si>
  <si>
    <t>Towards Refreshments (Biscut &amp; Sweets)</t>
  </si>
  <si>
    <t>To Madhav Rao towards Electrical motor fitment for Borewell &amp; clearing of Old Arrears towards Motor Repair</t>
  </si>
  <si>
    <t>Towards Borwell Jeep</t>
  </si>
  <si>
    <t>Out of Pocket Expenses covered from  Dec-Feb 24</t>
  </si>
  <si>
    <t>Total : 6 FD's were encashed towards painting work after Maturity</t>
  </si>
  <si>
    <t>Borewell depth waterlevel check through Camera</t>
  </si>
  <si>
    <t>1st collection of Rs.2000 towards water paid by Mrs. Suman Nayak (Withdrew towards water in cash)</t>
  </si>
  <si>
    <t>Cash witdraw Rs.2000 (KF1) adjusted towards 1st collection for water tanker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</si>
</sst>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15" fontId="0" fillId="0" borderId="1" xfId="0" applyNumberFormat="1" applyBorder="1" applyAlignment="1">
      <alignment horizontal="center" wrapText="1"/>
    </xf>
    <xf numFmtId="43" fontId="2" fillId="0" borderId="1" xfId="1" applyNumberFormat="1" applyFont="1" applyBorder="1" applyAlignment="1">
      <alignment horizontal="center" wrapText="1"/>
    </xf>
    <xf numFmtId="43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43" fontId="1" fillId="0" borderId="1" xfId="1" applyNumberFormat="1" applyFont="1" applyBorder="1" applyAlignment="1">
      <alignment horizontal="right" wrapText="1"/>
    </xf>
    <xf numFmtId="43" fontId="0" fillId="0" borderId="1" xfId="0" applyNumberFormat="1" applyFont="1" applyBorder="1" applyAlignment="1">
      <alignment horizontal="center" wrapText="1"/>
    </xf>
    <xf numFmtId="164" fontId="0" fillId="0" borderId="0" xfId="0" applyNumberFormat="1" applyAlignment="1">
      <alignment wrapText="1"/>
    </xf>
    <xf numFmtId="43" fontId="1" fillId="0" borderId="1" xfId="1" applyNumberFormat="1" applyFont="1" applyBorder="1" applyAlignment="1">
      <alignment horizontal="center" wrapText="1"/>
    </xf>
    <xf numFmtId="43" fontId="2" fillId="0" borderId="1" xfId="0" applyNumberFormat="1" applyFont="1" applyBorder="1" applyAlignment="1">
      <alignment horizontal="center" wrapText="1"/>
    </xf>
    <xf numFmtId="43" fontId="0" fillId="0" borderId="0" xfId="0" applyNumberFormat="1" applyAlignment="1">
      <alignment wrapText="1"/>
    </xf>
    <xf numFmtId="43" fontId="0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0" borderId="0" xfId="0" applyAlignment="1"/>
    <xf numFmtId="43" fontId="2" fillId="0" borderId="1" xfId="1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15" fontId="0" fillId="0" borderId="1" xfId="0" applyNumberFormat="1" applyBorder="1" applyAlignment="1">
      <alignment horizontal="center" vertical="center" wrapText="1"/>
    </xf>
    <xf numFmtId="43" fontId="0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3" fontId="0" fillId="0" borderId="1" xfId="0" applyNumberFormat="1" applyBorder="1" applyAlignment="1">
      <alignment horizontal="center" vertical="center" wrapText="1"/>
    </xf>
    <xf numFmtId="43" fontId="1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 wrapText="1"/>
    </xf>
    <xf numFmtId="43" fontId="2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3" fontId="0" fillId="0" borderId="1" xfId="0" applyNumberFormat="1" applyFont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wrapText="1"/>
    </xf>
    <xf numFmtId="43" fontId="5" fillId="0" borderId="1" xfId="1" applyNumberFormat="1" applyFont="1" applyBorder="1" applyAlignment="1">
      <alignment horizontal="center" vertical="center" wrapText="1"/>
    </xf>
    <xf numFmtId="43" fontId="6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wrapText="1"/>
    </xf>
    <xf numFmtId="43" fontId="1" fillId="0" borderId="1" xfId="1" applyNumberFormat="1" applyFont="1" applyBorder="1" applyAlignment="1">
      <alignment horizontal="right" vertical="center" wrapText="1"/>
    </xf>
    <xf numFmtId="43" fontId="0" fillId="0" borderId="3" xfId="1" applyNumberFormat="1" applyFont="1" applyBorder="1" applyAlignment="1">
      <alignment horizontal="center" wrapText="1"/>
    </xf>
    <xf numFmtId="43" fontId="0" fillId="0" borderId="3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3" fontId="0" fillId="0" borderId="0" xfId="0" applyNumberFormat="1"/>
    <xf numFmtId="43" fontId="0" fillId="0" borderId="1" xfId="1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K45"/>
  <sheetViews>
    <sheetView zoomScaleNormal="100" workbookViewId="0">
      <selection activeCell="C23" sqref="C23"/>
    </sheetView>
  </sheetViews>
  <sheetFormatPr defaultColWidth="9.109375" defaultRowHeight="14.4" x14ac:dyDescent="0.3"/>
  <cols>
    <col min="1" max="1" width="4.5546875" style="1" customWidth="1"/>
    <col min="2" max="2" width="10.44140625" style="1" customWidth="1"/>
    <col min="3" max="3" width="37.33203125" style="1" bestFit="1" customWidth="1"/>
    <col min="4" max="4" width="25.33203125" style="1" customWidth="1"/>
    <col min="5" max="5" width="17" style="1" bestFit="1" customWidth="1"/>
    <col min="6" max="6" width="9.109375" style="1"/>
    <col min="7" max="8" width="10" style="1" bestFit="1" customWidth="1"/>
    <col min="9" max="9" width="11.5546875" style="1" bestFit="1" customWidth="1"/>
    <col min="10" max="10" width="10" style="1" bestFit="1" customWidth="1"/>
    <col min="11" max="11" width="11.5546875" style="1" bestFit="1" customWidth="1"/>
    <col min="12" max="12" width="10" style="1" bestFit="1" customWidth="1"/>
    <col min="13" max="16384" width="9.109375" style="1"/>
  </cols>
  <sheetData>
    <row r="1" spans="2:11" ht="25.8" x14ac:dyDescent="0.3">
      <c r="B1" s="50" t="s">
        <v>0</v>
      </c>
      <c r="C1" s="50"/>
      <c r="D1" s="50"/>
      <c r="E1" s="50"/>
    </row>
    <row r="2" spans="2:11" ht="18" x14ac:dyDescent="0.3">
      <c r="B2" s="51" t="s">
        <v>38</v>
      </c>
      <c r="C2" s="51"/>
      <c r="D2" s="51"/>
      <c r="E2" s="51"/>
    </row>
    <row r="3" spans="2:11" x14ac:dyDescent="0.3">
      <c r="B3" s="2" t="s">
        <v>1</v>
      </c>
      <c r="C3" s="2" t="s">
        <v>2</v>
      </c>
      <c r="D3" s="2" t="s">
        <v>3</v>
      </c>
      <c r="E3" s="2" t="s">
        <v>4</v>
      </c>
    </row>
    <row r="4" spans="2:11" x14ac:dyDescent="0.3">
      <c r="B4" s="3">
        <v>45017</v>
      </c>
      <c r="C4" s="2" t="s">
        <v>5</v>
      </c>
      <c r="D4" s="4">
        <v>303855.7</v>
      </c>
      <c r="E4" s="5"/>
    </row>
    <row r="5" spans="2:11" x14ac:dyDescent="0.3">
      <c r="B5" s="6"/>
      <c r="C5" s="6" t="s">
        <v>6</v>
      </c>
      <c r="D5" s="7">
        <v>231856</v>
      </c>
      <c r="E5" s="5"/>
    </row>
    <row r="6" spans="2:11" x14ac:dyDescent="0.3">
      <c r="B6" s="6"/>
      <c r="C6" s="6" t="s">
        <v>7</v>
      </c>
      <c r="D6" s="8">
        <f>D4-D5</f>
        <v>71999.700000000012</v>
      </c>
      <c r="E6" s="5"/>
    </row>
    <row r="7" spans="2:11" x14ac:dyDescent="0.3">
      <c r="B7" s="6"/>
      <c r="C7" s="6"/>
      <c r="D7" s="5"/>
      <c r="E7" s="5"/>
    </row>
    <row r="8" spans="2:11" x14ac:dyDescent="0.3">
      <c r="B8" s="6"/>
      <c r="C8" s="2" t="s">
        <v>8</v>
      </c>
      <c r="D8" s="5"/>
      <c r="E8" s="5"/>
      <c r="K8" s="9"/>
    </row>
    <row r="9" spans="2:11" x14ac:dyDescent="0.3">
      <c r="B9" s="6"/>
      <c r="C9" s="6" t="s">
        <v>9</v>
      </c>
      <c r="D9" s="10">
        <v>98600</v>
      </c>
      <c r="E9" s="5"/>
    </row>
    <row r="10" spans="2:11" x14ac:dyDescent="0.3">
      <c r="B10" s="3"/>
      <c r="C10" s="6"/>
      <c r="D10" s="10"/>
      <c r="E10" s="5"/>
    </row>
    <row r="11" spans="2:11" x14ac:dyDescent="0.3">
      <c r="B11" s="6"/>
      <c r="C11" s="6"/>
      <c r="D11" s="10"/>
      <c r="E11" s="5"/>
    </row>
    <row r="12" spans="2:11" x14ac:dyDescent="0.3">
      <c r="B12" s="6"/>
      <c r="C12" s="2" t="s">
        <v>10</v>
      </c>
      <c r="D12" s="11">
        <f>SUM(D9:D11)</f>
        <v>98600</v>
      </c>
      <c r="E12" s="5"/>
    </row>
    <row r="13" spans="2:11" x14ac:dyDescent="0.3">
      <c r="B13" s="6"/>
      <c r="C13" s="2" t="s">
        <v>11</v>
      </c>
      <c r="D13" s="11">
        <f>D4+D12</f>
        <v>402455.7</v>
      </c>
      <c r="E13" s="5"/>
      <c r="I13" s="12"/>
    </row>
    <row r="14" spans="2:11" x14ac:dyDescent="0.3">
      <c r="B14" s="6"/>
      <c r="C14" s="6"/>
      <c r="D14" s="5"/>
      <c r="E14" s="5"/>
    </row>
    <row r="15" spans="2:11" x14ac:dyDescent="0.3">
      <c r="B15" s="6"/>
      <c r="C15" s="2" t="s">
        <v>12</v>
      </c>
      <c r="D15" s="5"/>
      <c r="E15" s="5"/>
    </row>
    <row r="16" spans="2:11" x14ac:dyDescent="0.3">
      <c r="B16" s="3">
        <v>45033</v>
      </c>
      <c r="C16" s="6" t="s">
        <v>13</v>
      </c>
      <c r="D16" s="5"/>
      <c r="E16" s="13">
        <v>16554</v>
      </c>
    </row>
    <row r="17" spans="2:10" x14ac:dyDescent="0.3">
      <c r="B17" s="3">
        <v>45033</v>
      </c>
      <c r="C17" s="6" t="s">
        <v>14</v>
      </c>
      <c r="D17" s="5"/>
      <c r="E17" s="13">
        <v>7332</v>
      </c>
    </row>
    <row r="18" spans="2:10" x14ac:dyDescent="0.3">
      <c r="B18" s="3">
        <v>45028</v>
      </c>
      <c r="C18" s="6" t="s">
        <v>15</v>
      </c>
      <c r="D18" s="14"/>
      <c r="E18" s="5">
        <v>25000</v>
      </c>
    </row>
    <row r="19" spans="2:10" x14ac:dyDescent="0.3">
      <c r="B19" s="3">
        <v>45022</v>
      </c>
      <c r="C19" s="15" t="s">
        <v>28</v>
      </c>
      <c r="D19" s="5"/>
      <c r="E19" s="13">
        <v>10000</v>
      </c>
    </row>
    <row r="20" spans="2:10" x14ac:dyDescent="0.3">
      <c r="B20" s="3">
        <v>45032</v>
      </c>
      <c r="C20" s="6" t="s">
        <v>26</v>
      </c>
      <c r="D20" s="5"/>
      <c r="E20" s="13">
        <v>70.8</v>
      </c>
    </row>
    <row r="21" spans="2:10" x14ac:dyDescent="0.3">
      <c r="B21" s="3"/>
      <c r="C21" s="6"/>
      <c r="D21" s="5"/>
      <c r="E21" s="13"/>
    </row>
    <row r="22" spans="2:10" x14ac:dyDescent="0.3">
      <c r="B22" s="3"/>
      <c r="C22" s="6"/>
      <c r="D22" s="5"/>
      <c r="E22" s="13"/>
    </row>
    <row r="23" spans="2:10" x14ac:dyDescent="0.3">
      <c r="B23" s="6"/>
      <c r="C23" s="2" t="s">
        <v>16</v>
      </c>
      <c r="D23" s="5"/>
      <c r="E23" s="11">
        <f>SUM(E16:E22)</f>
        <v>58956.800000000003</v>
      </c>
      <c r="G23" s="12"/>
    </row>
    <row r="24" spans="2:10" x14ac:dyDescent="0.3">
      <c r="B24" s="3"/>
      <c r="C24" s="2" t="s">
        <v>17</v>
      </c>
      <c r="D24" s="11">
        <f>D13-E23</f>
        <v>343498.9</v>
      </c>
      <c r="E24" s="5"/>
    </row>
    <row r="25" spans="2:10" x14ac:dyDescent="0.3">
      <c r="B25" s="6"/>
      <c r="C25" s="2"/>
      <c r="D25" s="11"/>
      <c r="E25" s="5"/>
    </row>
    <row r="26" spans="2:10" x14ac:dyDescent="0.3">
      <c r="B26" s="6"/>
      <c r="C26" s="2" t="s">
        <v>18</v>
      </c>
      <c r="D26" s="13"/>
      <c r="E26" s="4"/>
      <c r="H26" s="12"/>
    </row>
    <row r="27" spans="2:10" x14ac:dyDescent="0.3">
      <c r="B27" s="3">
        <v>45020</v>
      </c>
      <c r="C27" s="16" t="s">
        <v>19</v>
      </c>
      <c r="D27" s="13"/>
      <c r="E27" s="7">
        <v>1500</v>
      </c>
      <c r="H27" s="12"/>
    </row>
    <row r="28" spans="2:10" x14ac:dyDescent="0.3">
      <c r="B28" s="3">
        <v>45020</v>
      </c>
      <c r="C28" s="6" t="s">
        <v>20</v>
      </c>
      <c r="D28" s="13"/>
      <c r="E28" s="7">
        <v>500</v>
      </c>
      <c r="H28" s="12"/>
    </row>
    <row r="29" spans="2:10" x14ac:dyDescent="0.3">
      <c r="B29" s="3">
        <v>45017</v>
      </c>
      <c r="C29" s="38" t="s">
        <v>39</v>
      </c>
      <c r="D29" s="13"/>
      <c r="E29" s="39">
        <v>2500</v>
      </c>
      <c r="H29" s="12"/>
      <c r="J29" s="12"/>
    </row>
    <row r="30" spans="2:10" ht="28.8" x14ac:dyDescent="0.3">
      <c r="B30" s="3">
        <v>45017</v>
      </c>
      <c r="C30" s="23" t="s">
        <v>40</v>
      </c>
      <c r="D30" s="13"/>
      <c r="E30" s="39">
        <v>3500</v>
      </c>
      <c r="H30" s="12"/>
      <c r="J30" s="12"/>
    </row>
    <row r="31" spans="2:10" ht="43.2" x14ac:dyDescent="0.3">
      <c r="B31" s="3">
        <v>45017</v>
      </c>
      <c r="C31" s="23" t="s">
        <v>41</v>
      </c>
      <c r="D31" s="13"/>
      <c r="E31" s="39">
        <v>6600</v>
      </c>
      <c r="H31" s="12"/>
      <c r="J31" s="12"/>
    </row>
    <row r="32" spans="2:10" ht="28.8" x14ac:dyDescent="0.3">
      <c r="B32" s="3">
        <v>45018</v>
      </c>
      <c r="C32" s="23" t="s">
        <v>42</v>
      </c>
      <c r="D32" s="13"/>
      <c r="E32" s="39">
        <v>2080</v>
      </c>
      <c r="H32" s="12"/>
      <c r="J32" s="12"/>
    </row>
    <row r="33" spans="2:11" ht="28.8" x14ac:dyDescent="0.3">
      <c r="B33" s="3">
        <v>45042</v>
      </c>
      <c r="C33" s="6" t="s">
        <v>43</v>
      </c>
      <c r="D33" s="13"/>
      <c r="E33" s="10">
        <v>1200</v>
      </c>
      <c r="H33" s="12"/>
      <c r="J33" s="12"/>
    </row>
    <row r="34" spans="2:11" x14ac:dyDescent="0.3">
      <c r="B34" s="6"/>
      <c r="C34" s="6"/>
      <c r="D34" s="13"/>
      <c r="E34" s="10"/>
      <c r="H34" s="12"/>
      <c r="J34" s="12"/>
    </row>
    <row r="35" spans="2:11" x14ac:dyDescent="0.3">
      <c r="B35" s="17"/>
      <c r="C35" s="6"/>
      <c r="D35" s="13"/>
      <c r="E35" s="10"/>
      <c r="H35" s="12"/>
      <c r="I35" s="12"/>
    </row>
    <row r="36" spans="2:11" x14ac:dyDescent="0.3">
      <c r="B36" s="6"/>
      <c r="C36" s="2" t="s">
        <v>21</v>
      </c>
      <c r="D36" s="13"/>
      <c r="E36" s="4">
        <f>SUM(E27:E35)</f>
        <v>17880</v>
      </c>
      <c r="G36" s="12"/>
      <c r="H36" s="9"/>
    </row>
    <row r="37" spans="2:11" x14ac:dyDescent="0.3">
      <c r="B37" s="6"/>
      <c r="C37" s="2"/>
      <c r="D37" s="13"/>
      <c r="E37" s="4"/>
      <c r="G37" s="12"/>
      <c r="H37" s="12"/>
      <c r="I37" s="12"/>
    </row>
    <row r="38" spans="2:11" x14ac:dyDescent="0.3">
      <c r="B38" s="3"/>
      <c r="C38" s="2" t="s">
        <v>22</v>
      </c>
      <c r="D38" s="4">
        <v>-8929</v>
      </c>
      <c r="E38" s="4"/>
      <c r="G38" s="12"/>
      <c r="I38" s="12"/>
      <c r="J38" s="9"/>
    </row>
    <row r="39" spans="2:11" x14ac:dyDescent="0.3">
      <c r="B39" s="6"/>
      <c r="C39" s="6"/>
      <c r="D39" s="13"/>
      <c r="E39" s="13"/>
      <c r="G39" s="18"/>
      <c r="J39" s="9"/>
    </row>
    <row r="40" spans="2:11" x14ac:dyDescent="0.3">
      <c r="B40" s="3">
        <v>45046</v>
      </c>
      <c r="C40" s="2" t="s">
        <v>23</v>
      </c>
      <c r="D40" s="19">
        <f>D24</f>
        <v>343498.9</v>
      </c>
      <c r="E40" s="5"/>
    </row>
    <row r="41" spans="2:11" x14ac:dyDescent="0.3">
      <c r="B41" s="3"/>
      <c r="C41" s="2" t="s">
        <v>24</v>
      </c>
      <c r="D41" s="4">
        <f>D40</f>
        <v>343498.9</v>
      </c>
      <c r="E41" s="5"/>
      <c r="I41" s="9"/>
      <c r="K41" s="12"/>
    </row>
    <row r="45" spans="2:11" x14ac:dyDescent="0.3">
      <c r="E45" s="20" t="s">
        <v>25</v>
      </c>
    </row>
  </sheetData>
  <mergeCells count="2">
    <mergeCell ref="B1:E1"/>
    <mergeCell ref="B2:E2"/>
  </mergeCells>
  <pageMargins left="0.25" right="0.25" top="0.75" bottom="0.75" header="0.3" footer="0.3"/>
  <pageSetup paperSize="9" fitToHeight="0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K42"/>
  <sheetViews>
    <sheetView zoomScaleNormal="100" workbookViewId="0">
      <selection activeCell="D6" sqref="D6"/>
    </sheetView>
  </sheetViews>
  <sheetFormatPr defaultColWidth="9.109375" defaultRowHeight="14.4" x14ac:dyDescent="0.3"/>
  <cols>
    <col min="1" max="1" width="4.5546875" style="1" customWidth="1"/>
    <col min="2" max="2" width="10.44140625" style="1" customWidth="1"/>
    <col min="3" max="3" width="37.33203125" style="1" bestFit="1" customWidth="1"/>
    <col min="4" max="4" width="25.33203125" style="1" customWidth="1"/>
    <col min="5" max="5" width="17" style="1" bestFit="1" customWidth="1"/>
    <col min="6" max="6" width="9.109375" style="1"/>
    <col min="7" max="8" width="10" style="1" bestFit="1" customWidth="1"/>
    <col min="9" max="9" width="11.5546875" style="1" bestFit="1" customWidth="1"/>
    <col min="10" max="10" width="10" style="1" bestFit="1" customWidth="1"/>
    <col min="11" max="11" width="11.5546875" style="1" bestFit="1" customWidth="1"/>
    <col min="12" max="12" width="10" style="1" bestFit="1" customWidth="1"/>
    <col min="13" max="16384" width="9.109375" style="1"/>
  </cols>
  <sheetData>
    <row r="1" spans="2:11" ht="25.8" x14ac:dyDescent="0.3">
      <c r="B1" s="50" t="s">
        <v>0</v>
      </c>
      <c r="C1" s="50"/>
      <c r="D1" s="50"/>
      <c r="E1" s="50"/>
    </row>
    <row r="2" spans="2:11" ht="18" x14ac:dyDescent="0.3">
      <c r="B2" s="51" t="s">
        <v>44</v>
      </c>
      <c r="C2" s="51"/>
      <c r="D2" s="51"/>
      <c r="E2" s="51"/>
    </row>
    <row r="3" spans="2:11" x14ac:dyDescent="0.3">
      <c r="B3" s="2" t="s">
        <v>1</v>
      </c>
      <c r="C3" s="2" t="s">
        <v>2</v>
      </c>
      <c r="D3" s="2" t="s">
        <v>3</v>
      </c>
      <c r="E3" s="2" t="s">
        <v>4</v>
      </c>
    </row>
    <row r="4" spans="2:11" x14ac:dyDescent="0.3">
      <c r="B4" s="3">
        <v>45047</v>
      </c>
      <c r="C4" s="2" t="s">
        <v>5</v>
      </c>
      <c r="D4" s="4">
        <v>303855.7</v>
      </c>
      <c r="E4" s="5"/>
    </row>
    <row r="5" spans="2:11" x14ac:dyDescent="0.3">
      <c r="B5" s="6"/>
      <c r="C5" s="6" t="s">
        <v>6</v>
      </c>
      <c r="D5" s="7">
        <v>231856</v>
      </c>
      <c r="E5" s="5"/>
    </row>
    <row r="6" spans="2:11" x14ac:dyDescent="0.3">
      <c r="B6" s="6"/>
      <c r="C6" s="6" t="s">
        <v>7</v>
      </c>
      <c r="D6" s="8">
        <f>D4-D5</f>
        <v>71999.700000000012</v>
      </c>
      <c r="E6" s="5"/>
    </row>
    <row r="7" spans="2:11" x14ac:dyDescent="0.3">
      <c r="B7" s="6"/>
      <c r="C7" s="6"/>
      <c r="D7" s="5"/>
      <c r="E7" s="5"/>
    </row>
    <row r="8" spans="2:11" x14ac:dyDescent="0.3">
      <c r="B8" s="6"/>
      <c r="C8" s="2" t="s">
        <v>8</v>
      </c>
      <c r="D8" s="5"/>
      <c r="E8" s="5"/>
      <c r="K8" s="9"/>
    </row>
    <row r="9" spans="2:11" x14ac:dyDescent="0.3">
      <c r="B9" s="6"/>
      <c r="C9" s="6" t="s">
        <v>9</v>
      </c>
      <c r="D9" s="10">
        <v>62200</v>
      </c>
      <c r="E9" s="5"/>
    </row>
    <row r="10" spans="2:11" x14ac:dyDescent="0.3">
      <c r="B10" s="6"/>
      <c r="C10" s="6"/>
      <c r="D10" s="10"/>
      <c r="E10" s="5"/>
    </row>
    <row r="11" spans="2:11" x14ac:dyDescent="0.3">
      <c r="B11" s="6"/>
      <c r="C11" s="2" t="s">
        <v>10</v>
      </c>
      <c r="D11" s="11">
        <f>SUM(D9:D10)</f>
        <v>62200</v>
      </c>
      <c r="E11" s="5"/>
    </row>
    <row r="12" spans="2:11" x14ac:dyDescent="0.3">
      <c r="B12" s="6"/>
      <c r="C12" s="2" t="s">
        <v>11</v>
      </c>
      <c r="D12" s="11">
        <f>D4+D11</f>
        <v>366055.7</v>
      </c>
      <c r="E12" s="5"/>
      <c r="I12" s="12"/>
    </row>
    <row r="13" spans="2:11" x14ac:dyDescent="0.3">
      <c r="B13" s="6"/>
      <c r="C13" s="6"/>
      <c r="D13" s="5"/>
      <c r="E13" s="5"/>
    </row>
    <row r="14" spans="2:11" x14ac:dyDescent="0.3">
      <c r="B14" s="6"/>
      <c r="C14" s="2" t="s">
        <v>12</v>
      </c>
      <c r="D14" s="5"/>
      <c r="E14" s="5"/>
    </row>
    <row r="15" spans="2:11" x14ac:dyDescent="0.3">
      <c r="B15" s="3">
        <v>45063</v>
      </c>
      <c r="C15" s="6" t="s">
        <v>13</v>
      </c>
      <c r="D15" s="5"/>
      <c r="E15" s="13">
        <v>16951</v>
      </c>
    </row>
    <row r="16" spans="2:11" x14ac:dyDescent="0.3">
      <c r="B16" s="3">
        <v>45063</v>
      </c>
      <c r="C16" s="6" t="s">
        <v>14</v>
      </c>
      <c r="D16" s="5"/>
      <c r="E16" s="13">
        <v>7068</v>
      </c>
    </row>
    <row r="17" spans="2:10" x14ac:dyDescent="0.3">
      <c r="B17" s="3">
        <v>45054</v>
      </c>
      <c r="C17" s="6" t="s">
        <v>15</v>
      </c>
      <c r="D17" s="14"/>
      <c r="E17" s="5">
        <v>25000</v>
      </c>
    </row>
    <row r="18" spans="2:10" x14ac:dyDescent="0.3">
      <c r="B18" s="3">
        <v>45050</v>
      </c>
      <c r="C18" s="15" t="s">
        <v>28</v>
      </c>
      <c r="D18" s="5"/>
      <c r="E18" s="13">
        <v>10000</v>
      </c>
    </row>
    <row r="19" spans="2:10" x14ac:dyDescent="0.3">
      <c r="B19" s="3">
        <v>45051</v>
      </c>
      <c r="C19" s="15" t="s">
        <v>46</v>
      </c>
      <c r="D19" s="5"/>
      <c r="E19" s="13">
        <v>1546</v>
      </c>
    </row>
    <row r="20" spans="2:10" ht="28.8" x14ac:dyDescent="0.3">
      <c r="B20" s="21">
        <v>45051</v>
      </c>
      <c r="C20" s="6" t="s">
        <v>47</v>
      </c>
      <c r="D20" s="5"/>
      <c r="E20" s="22">
        <v>22199</v>
      </c>
    </row>
    <row r="21" spans="2:10" ht="43.2" x14ac:dyDescent="0.3">
      <c r="B21" s="21">
        <v>45069</v>
      </c>
      <c r="C21" s="6" t="s">
        <v>49</v>
      </c>
      <c r="D21" s="5"/>
      <c r="E21" s="22">
        <v>10600</v>
      </c>
    </row>
    <row r="22" spans="2:10" x14ac:dyDescent="0.3">
      <c r="B22" s="3">
        <v>45075</v>
      </c>
      <c r="C22" s="6" t="s">
        <v>27</v>
      </c>
      <c r="D22" s="5"/>
      <c r="E22" s="13">
        <v>15000</v>
      </c>
    </row>
    <row r="23" spans="2:10" x14ac:dyDescent="0.3">
      <c r="B23" s="3">
        <v>45076</v>
      </c>
      <c r="C23" s="6" t="s">
        <v>45</v>
      </c>
      <c r="D23" s="5"/>
      <c r="E23" s="13">
        <v>236</v>
      </c>
    </row>
    <row r="24" spans="2:10" x14ac:dyDescent="0.3">
      <c r="B24" s="3"/>
      <c r="C24" s="6"/>
      <c r="D24" s="5"/>
      <c r="E24" s="13"/>
    </row>
    <row r="25" spans="2:10" x14ac:dyDescent="0.3">
      <c r="B25" s="6"/>
      <c r="C25" s="2" t="s">
        <v>16</v>
      </c>
      <c r="D25" s="5"/>
      <c r="E25" s="11">
        <f>SUM(E15:E24)</f>
        <v>108600</v>
      </c>
      <c r="G25" s="12"/>
    </row>
    <row r="26" spans="2:10" x14ac:dyDescent="0.3">
      <c r="B26" s="3">
        <v>44712</v>
      </c>
      <c r="C26" s="2" t="s">
        <v>17</v>
      </c>
      <c r="D26" s="11">
        <f>D12-E25</f>
        <v>257455.7</v>
      </c>
      <c r="E26" s="5"/>
    </row>
    <row r="27" spans="2:10" x14ac:dyDescent="0.3">
      <c r="B27" s="6"/>
      <c r="C27" s="2"/>
      <c r="D27" s="11"/>
      <c r="E27" s="5"/>
    </row>
    <row r="28" spans="2:10" x14ac:dyDescent="0.3">
      <c r="B28" s="6"/>
      <c r="C28" s="2" t="s">
        <v>18</v>
      </c>
      <c r="D28" s="13"/>
      <c r="E28" s="4"/>
      <c r="H28" s="12"/>
    </row>
    <row r="29" spans="2:10" x14ac:dyDescent="0.3">
      <c r="B29" s="3">
        <v>45048</v>
      </c>
      <c r="C29" s="16" t="s">
        <v>19</v>
      </c>
      <c r="D29" s="13"/>
      <c r="E29" s="10">
        <v>1500</v>
      </c>
      <c r="H29" s="12"/>
    </row>
    <row r="30" spans="2:10" x14ac:dyDescent="0.3">
      <c r="B30" s="3">
        <v>45048</v>
      </c>
      <c r="C30" s="6" t="s">
        <v>20</v>
      </c>
      <c r="D30" s="13"/>
      <c r="E30" s="10">
        <v>500</v>
      </c>
      <c r="H30" s="12"/>
    </row>
    <row r="31" spans="2:10" x14ac:dyDescent="0.3">
      <c r="B31" s="3">
        <v>45062</v>
      </c>
      <c r="C31" s="6" t="s">
        <v>50</v>
      </c>
      <c r="D31" s="13"/>
      <c r="E31" s="10">
        <v>356</v>
      </c>
      <c r="H31" s="12"/>
      <c r="J31" s="12"/>
    </row>
    <row r="32" spans="2:10" x14ac:dyDescent="0.3">
      <c r="B32" s="3">
        <v>45074</v>
      </c>
      <c r="C32" s="6" t="s">
        <v>48</v>
      </c>
      <c r="D32" s="13"/>
      <c r="E32" s="10">
        <v>384</v>
      </c>
      <c r="H32" s="12"/>
      <c r="I32" s="12"/>
    </row>
    <row r="33" spans="2:11" x14ac:dyDescent="0.3">
      <c r="B33" s="6"/>
      <c r="C33" s="2" t="s">
        <v>21</v>
      </c>
      <c r="D33" s="13"/>
      <c r="E33" s="4">
        <f>SUM(E29:E32)</f>
        <v>2740</v>
      </c>
      <c r="G33" s="12"/>
      <c r="H33" s="9"/>
    </row>
    <row r="34" spans="2:11" x14ac:dyDescent="0.3">
      <c r="B34" s="6"/>
      <c r="C34" s="2"/>
      <c r="D34" s="13"/>
      <c r="E34" s="4"/>
      <c r="G34" s="12"/>
      <c r="H34" s="12"/>
      <c r="I34" s="12"/>
    </row>
    <row r="35" spans="2:11" x14ac:dyDescent="0.3">
      <c r="B35" s="3"/>
      <c r="C35" s="2" t="s">
        <v>22</v>
      </c>
      <c r="D35" s="4">
        <v>3584</v>
      </c>
      <c r="E35" s="4"/>
      <c r="G35" s="12"/>
      <c r="I35" s="12"/>
      <c r="J35" s="9"/>
    </row>
    <row r="36" spans="2:11" x14ac:dyDescent="0.3">
      <c r="B36" s="6"/>
      <c r="C36" s="6"/>
      <c r="D36" s="13"/>
      <c r="E36" s="13"/>
      <c r="G36" s="18"/>
      <c r="J36" s="9"/>
    </row>
    <row r="37" spans="2:11" x14ac:dyDescent="0.3">
      <c r="B37" s="3">
        <v>45076</v>
      </c>
      <c r="C37" s="2" t="s">
        <v>23</v>
      </c>
      <c r="D37" s="19">
        <f>D26</f>
        <v>257455.7</v>
      </c>
      <c r="E37" s="5"/>
    </row>
    <row r="38" spans="2:11" x14ac:dyDescent="0.3">
      <c r="B38" s="3"/>
      <c r="C38" s="2" t="s">
        <v>24</v>
      </c>
      <c r="D38" s="4">
        <f>D37</f>
        <v>257455.7</v>
      </c>
      <c r="E38" s="5"/>
      <c r="I38" s="9"/>
      <c r="K38" s="12"/>
    </row>
    <row r="42" spans="2:11" x14ac:dyDescent="0.3">
      <c r="E42" s="20" t="s">
        <v>25</v>
      </c>
    </row>
  </sheetData>
  <mergeCells count="2">
    <mergeCell ref="B1:E1"/>
    <mergeCell ref="B2:E2"/>
  </mergeCells>
  <pageMargins left="0.25" right="0.25" top="0.75" bottom="0.75" header="0.3" footer="0.3"/>
  <pageSetup paperSize="9" fitToHeight="0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K42"/>
  <sheetViews>
    <sheetView zoomScaleNormal="100" workbookViewId="0">
      <selection activeCell="H16" sqref="H16"/>
    </sheetView>
  </sheetViews>
  <sheetFormatPr defaultColWidth="9.109375" defaultRowHeight="14.4" x14ac:dyDescent="0.3"/>
  <cols>
    <col min="1" max="1" width="4.5546875" style="1" customWidth="1"/>
    <col min="2" max="2" width="10.44140625" style="1" customWidth="1"/>
    <col min="3" max="3" width="37.33203125" style="1" bestFit="1" customWidth="1"/>
    <col min="4" max="4" width="25.33203125" style="1" customWidth="1"/>
    <col min="5" max="5" width="17" style="1" bestFit="1" customWidth="1"/>
    <col min="6" max="6" width="9.109375" style="1"/>
    <col min="7" max="8" width="10" style="1" bestFit="1" customWidth="1"/>
    <col min="9" max="9" width="11.5546875" style="1" bestFit="1" customWidth="1"/>
    <col min="10" max="10" width="10" style="1" bestFit="1" customWidth="1"/>
    <col min="11" max="11" width="11.5546875" style="1" bestFit="1" customWidth="1"/>
    <col min="12" max="12" width="10" style="1" bestFit="1" customWidth="1"/>
    <col min="13" max="16384" width="9.109375" style="1"/>
  </cols>
  <sheetData>
    <row r="1" spans="2:11" ht="25.8" x14ac:dyDescent="0.3">
      <c r="B1" s="50" t="s">
        <v>0</v>
      </c>
      <c r="C1" s="50"/>
      <c r="D1" s="50"/>
      <c r="E1" s="50"/>
    </row>
    <row r="2" spans="2:11" ht="18" x14ac:dyDescent="0.3">
      <c r="B2" s="51" t="s">
        <v>58</v>
      </c>
      <c r="C2" s="51"/>
      <c r="D2" s="51"/>
      <c r="E2" s="51"/>
    </row>
    <row r="3" spans="2:11" x14ac:dyDescent="0.3">
      <c r="B3" s="2" t="s">
        <v>1</v>
      </c>
      <c r="C3" s="2" t="s">
        <v>2</v>
      </c>
      <c r="D3" s="2" t="s">
        <v>3</v>
      </c>
      <c r="E3" s="2" t="s">
        <v>4</v>
      </c>
    </row>
    <row r="4" spans="2:11" x14ac:dyDescent="0.3">
      <c r="B4" s="3">
        <v>45078</v>
      </c>
      <c r="C4" s="2" t="s">
        <v>5</v>
      </c>
      <c r="D4" s="4">
        <v>257455.7</v>
      </c>
      <c r="E4" s="5"/>
    </row>
    <row r="5" spans="2:11" x14ac:dyDescent="0.3">
      <c r="B5" s="6"/>
      <c r="C5" s="6" t="s">
        <v>6</v>
      </c>
      <c r="D5" s="7">
        <v>231856</v>
      </c>
      <c r="E5" s="5"/>
    </row>
    <row r="6" spans="2:11" x14ac:dyDescent="0.3">
      <c r="B6" s="6"/>
      <c r="C6" s="6" t="s">
        <v>7</v>
      </c>
      <c r="D6" s="8">
        <f>D4-D5</f>
        <v>25599.700000000012</v>
      </c>
      <c r="E6" s="5"/>
    </row>
    <row r="7" spans="2:11" x14ac:dyDescent="0.3">
      <c r="B7" s="6"/>
      <c r="C7" s="6"/>
      <c r="D7" s="5"/>
      <c r="E7" s="5"/>
    </row>
    <row r="8" spans="2:11" x14ac:dyDescent="0.3">
      <c r="B8" s="6"/>
      <c r="C8" s="2" t="s">
        <v>8</v>
      </c>
      <c r="D8" s="5"/>
      <c r="E8" s="5"/>
      <c r="K8" s="9"/>
    </row>
    <row r="9" spans="2:11" x14ac:dyDescent="0.3">
      <c r="B9" s="6"/>
      <c r="C9" s="6" t="s">
        <v>9</v>
      </c>
      <c r="D9" s="10">
        <v>98400</v>
      </c>
      <c r="E9" s="5"/>
    </row>
    <row r="10" spans="2:11" x14ac:dyDescent="0.3">
      <c r="B10" s="3"/>
      <c r="C10" s="6" t="s">
        <v>29</v>
      </c>
      <c r="D10" s="10">
        <v>10000</v>
      </c>
      <c r="E10" s="5"/>
    </row>
    <row r="11" spans="2:11" x14ac:dyDescent="0.3">
      <c r="B11" s="6"/>
      <c r="C11" s="6" t="s">
        <v>51</v>
      </c>
      <c r="D11" s="10">
        <v>300</v>
      </c>
      <c r="E11" s="5"/>
    </row>
    <row r="12" spans="2:11" x14ac:dyDescent="0.3">
      <c r="B12" s="6"/>
      <c r="C12" s="6"/>
      <c r="D12" s="10"/>
      <c r="E12" s="5"/>
    </row>
    <row r="13" spans="2:11" x14ac:dyDescent="0.3">
      <c r="B13" s="6"/>
      <c r="C13" s="2" t="s">
        <v>10</v>
      </c>
      <c r="D13" s="11">
        <f>SUM(D9:D12)</f>
        <v>108700</v>
      </c>
      <c r="E13" s="5"/>
    </row>
    <row r="14" spans="2:11" x14ac:dyDescent="0.3">
      <c r="B14" s="6"/>
      <c r="C14" s="2" t="s">
        <v>11</v>
      </c>
      <c r="D14" s="11">
        <f>D4+D13</f>
        <v>366155.7</v>
      </c>
      <c r="E14" s="5"/>
      <c r="I14" s="12"/>
    </row>
    <row r="15" spans="2:11" x14ac:dyDescent="0.3">
      <c r="B15" s="6"/>
      <c r="C15" s="6"/>
      <c r="D15" s="5"/>
      <c r="E15" s="5"/>
    </row>
    <row r="16" spans="2:11" x14ac:dyDescent="0.3">
      <c r="B16" s="6"/>
      <c r="C16" s="2" t="s">
        <v>12</v>
      </c>
      <c r="D16" s="5"/>
      <c r="E16" s="5"/>
    </row>
    <row r="17" spans="2:9" ht="72" x14ac:dyDescent="0.3">
      <c r="B17" s="21">
        <v>45094</v>
      </c>
      <c r="C17" s="6" t="s">
        <v>53</v>
      </c>
      <c r="D17" s="5"/>
      <c r="E17" s="13">
        <v>0</v>
      </c>
    </row>
    <row r="18" spans="2:9" ht="72" x14ac:dyDescent="0.3">
      <c r="B18" s="21">
        <v>45092</v>
      </c>
      <c r="C18" s="6" t="s">
        <v>57</v>
      </c>
      <c r="D18" s="5"/>
      <c r="E18" s="13">
        <v>0</v>
      </c>
    </row>
    <row r="19" spans="2:9" x14ac:dyDescent="0.3">
      <c r="B19" s="21">
        <v>45085</v>
      </c>
      <c r="C19" s="6" t="s">
        <v>15</v>
      </c>
      <c r="D19" s="14"/>
      <c r="E19" s="5">
        <v>25000</v>
      </c>
    </row>
    <row r="20" spans="2:9" x14ac:dyDescent="0.3">
      <c r="B20" s="21">
        <v>45084</v>
      </c>
      <c r="C20" s="15" t="s">
        <v>28</v>
      </c>
      <c r="D20" s="5"/>
      <c r="E20" s="13">
        <v>10000</v>
      </c>
    </row>
    <row r="21" spans="2:9" ht="28.8" x14ac:dyDescent="0.3">
      <c r="B21" s="21">
        <v>45096</v>
      </c>
      <c r="C21" s="6" t="s">
        <v>52</v>
      </c>
      <c r="D21" s="5"/>
      <c r="E21" s="13">
        <v>118</v>
      </c>
    </row>
    <row r="22" spans="2:9" x14ac:dyDescent="0.3">
      <c r="B22" s="21"/>
      <c r="C22" s="6"/>
      <c r="D22" s="5"/>
      <c r="E22" s="13"/>
    </row>
    <row r="23" spans="2:9" x14ac:dyDescent="0.3">
      <c r="B23" s="23"/>
      <c r="C23" s="2" t="s">
        <v>16</v>
      </c>
      <c r="D23" s="5"/>
      <c r="E23" s="11">
        <f>SUM(E17:E21)</f>
        <v>35118</v>
      </c>
      <c r="G23" s="12"/>
    </row>
    <row r="24" spans="2:9" x14ac:dyDescent="0.3">
      <c r="B24" s="21">
        <v>45107</v>
      </c>
      <c r="C24" s="2" t="s">
        <v>17</v>
      </c>
      <c r="D24" s="11">
        <f>D14-E23</f>
        <v>331037.7</v>
      </c>
      <c r="E24" s="5"/>
    </row>
    <row r="25" spans="2:9" x14ac:dyDescent="0.3">
      <c r="B25" s="6"/>
      <c r="C25" s="2"/>
      <c r="D25" s="11"/>
      <c r="E25" s="5"/>
    </row>
    <row r="26" spans="2:9" x14ac:dyDescent="0.3">
      <c r="B26" s="6"/>
      <c r="C26" s="2" t="s">
        <v>54</v>
      </c>
      <c r="D26" s="11"/>
      <c r="E26" s="5">
        <v>3584</v>
      </c>
    </row>
    <row r="27" spans="2:9" x14ac:dyDescent="0.3">
      <c r="B27" s="6"/>
      <c r="C27" s="2"/>
      <c r="D27" s="11"/>
      <c r="E27" s="5"/>
    </row>
    <row r="28" spans="2:9" x14ac:dyDescent="0.3">
      <c r="B28" s="6"/>
      <c r="C28" s="2" t="s">
        <v>56</v>
      </c>
      <c r="D28" s="13"/>
      <c r="E28" s="4"/>
      <c r="H28" s="12"/>
    </row>
    <row r="29" spans="2:9" x14ac:dyDescent="0.3">
      <c r="B29" s="21">
        <v>45082</v>
      </c>
      <c r="C29" s="16" t="s">
        <v>19</v>
      </c>
      <c r="D29" s="13"/>
      <c r="E29" s="10">
        <v>1500</v>
      </c>
      <c r="H29" s="12"/>
    </row>
    <row r="30" spans="2:9" x14ac:dyDescent="0.3">
      <c r="B30" s="21">
        <v>45082</v>
      </c>
      <c r="C30" s="6" t="s">
        <v>20</v>
      </c>
      <c r="D30" s="13"/>
      <c r="E30" s="10">
        <v>500</v>
      </c>
      <c r="H30" s="12"/>
    </row>
    <row r="31" spans="2:9" ht="43.2" x14ac:dyDescent="0.3">
      <c r="B31" s="21">
        <v>45100</v>
      </c>
      <c r="C31" s="6" t="s">
        <v>55</v>
      </c>
      <c r="D31" s="13"/>
      <c r="E31" s="10">
        <v>4000</v>
      </c>
      <c r="H31" s="12"/>
      <c r="I31" s="12"/>
    </row>
    <row r="32" spans="2:9" x14ac:dyDescent="0.3">
      <c r="B32" s="40"/>
      <c r="C32" s="6"/>
      <c r="D32" s="13"/>
      <c r="E32" s="10"/>
      <c r="H32" s="12"/>
      <c r="I32" s="12"/>
    </row>
    <row r="33" spans="2:11" x14ac:dyDescent="0.3">
      <c r="B33" s="23"/>
      <c r="C33" s="2" t="s">
        <v>21</v>
      </c>
      <c r="D33" s="13"/>
      <c r="E33" s="4">
        <f>SUM(E29:E31)</f>
        <v>6000</v>
      </c>
      <c r="G33" s="12"/>
      <c r="H33" s="9"/>
    </row>
    <row r="34" spans="2:11" x14ac:dyDescent="0.3">
      <c r="B34" s="23"/>
      <c r="C34" s="2"/>
      <c r="D34" s="13"/>
      <c r="E34" s="4"/>
      <c r="G34" s="12"/>
      <c r="H34" s="12"/>
      <c r="I34" s="12"/>
    </row>
    <row r="35" spans="2:11" x14ac:dyDescent="0.3">
      <c r="B35" s="21"/>
      <c r="C35" s="2" t="s">
        <v>22</v>
      </c>
      <c r="D35" s="4">
        <f>E26-E33</f>
        <v>-2416</v>
      </c>
      <c r="E35" s="4"/>
      <c r="G35" s="12"/>
      <c r="I35" s="12"/>
      <c r="J35" s="9"/>
    </row>
    <row r="36" spans="2:11" x14ac:dyDescent="0.3">
      <c r="B36" s="23"/>
      <c r="C36" s="6"/>
      <c r="D36" s="13"/>
      <c r="E36" s="13"/>
      <c r="G36" s="18"/>
      <c r="J36" s="9"/>
    </row>
    <row r="37" spans="2:11" x14ac:dyDescent="0.3">
      <c r="B37" s="21">
        <v>45107</v>
      </c>
      <c r="C37" s="2" t="s">
        <v>23</v>
      </c>
      <c r="D37" s="19">
        <v>331037.7</v>
      </c>
      <c r="E37" s="5"/>
    </row>
    <row r="38" spans="2:11" x14ac:dyDescent="0.3">
      <c r="B38" s="21">
        <v>45107</v>
      </c>
      <c r="C38" s="2" t="s">
        <v>24</v>
      </c>
      <c r="D38" s="4">
        <f>D37</f>
        <v>331037.7</v>
      </c>
      <c r="E38" s="5"/>
      <c r="I38" s="9"/>
      <c r="K38" s="12"/>
    </row>
    <row r="42" spans="2:11" x14ac:dyDescent="0.3">
      <c r="E42" s="20" t="s">
        <v>25</v>
      </c>
    </row>
  </sheetData>
  <mergeCells count="2">
    <mergeCell ref="B1:E1"/>
    <mergeCell ref="B2:E2"/>
  </mergeCells>
  <pageMargins left="0.25" right="0.25" top="0.75" bottom="0.75" header="0.3" footer="0.3"/>
  <pageSetup paperSize="9" fitToHeight="0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187F-2431-4086-8946-646A7C26E6C0}">
  <dimension ref="B1:E44"/>
  <sheetViews>
    <sheetView workbookViewId="0">
      <selection activeCell="J17" sqref="J17"/>
    </sheetView>
  </sheetViews>
  <sheetFormatPr defaultRowHeight="14.4" x14ac:dyDescent="0.3"/>
  <cols>
    <col min="2" max="2" width="10.44140625" customWidth="1"/>
    <col min="3" max="3" width="37.33203125" bestFit="1" customWidth="1"/>
    <col min="4" max="4" width="25.33203125" customWidth="1"/>
    <col min="5" max="5" width="17" bestFit="1" customWidth="1"/>
  </cols>
  <sheetData>
    <row r="1" spans="2:5" ht="25.8" x14ac:dyDescent="0.3">
      <c r="B1" s="50" t="s">
        <v>0</v>
      </c>
      <c r="C1" s="50"/>
      <c r="D1" s="50"/>
      <c r="E1" s="50"/>
    </row>
    <row r="2" spans="2:5" ht="18" x14ac:dyDescent="0.3">
      <c r="B2" s="51" t="s">
        <v>59</v>
      </c>
      <c r="C2" s="51"/>
      <c r="D2" s="51"/>
      <c r="E2" s="51"/>
    </row>
    <row r="3" spans="2:5" x14ac:dyDescent="0.3">
      <c r="B3" s="2" t="s">
        <v>1</v>
      </c>
      <c r="C3" s="2" t="s">
        <v>2</v>
      </c>
      <c r="D3" s="2" t="s">
        <v>3</v>
      </c>
      <c r="E3" s="2" t="s">
        <v>4</v>
      </c>
    </row>
    <row r="4" spans="2:5" x14ac:dyDescent="0.3">
      <c r="B4" s="3">
        <v>45108</v>
      </c>
      <c r="C4" s="2" t="s">
        <v>5</v>
      </c>
      <c r="D4" s="4">
        <v>331037.7</v>
      </c>
      <c r="E4" s="5"/>
    </row>
    <row r="5" spans="2:5" x14ac:dyDescent="0.3">
      <c r="B5" s="6"/>
      <c r="C5" s="6" t="s">
        <v>6</v>
      </c>
      <c r="D5" s="7">
        <v>241856</v>
      </c>
      <c r="E5" s="5"/>
    </row>
    <row r="6" spans="2:5" x14ac:dyDescent="0.3">
      <c r="B6" s="6"/>
      <c r="C6" s="6" t="s">
        <v>7</v>
      </c>
      <c r="D6" s="8">
        <f>D4-D5</f>
        <v>89181.700000000012</v>
      </c>
      <c r="E6" s="5"/>
    </row>
    <row r="7" spans="2:5" x14ac:dyDescent="0.3">
      <c r="B7" s="6"/>
      <c r="C7" s="6"/>
      <c r="D7" s="5"/>
      <c r="E7" s="5"/>
    </row>
    <row r="8" spans="2:5" x14ac:dyDescent="0.3">
      <c r="B8" s="6"/>
      <c r="C8" s="2" t="s">
        <v>8</v>
      </c>
      <c r="D8" s="5"/>
      <c r="E8" s="5"/>
    </row>
    <row r="9" spans="2:5" x14ac:dyDescent="0.3">
      <c r="B9" s="6"/>
      <c r="C9" s="6" t="s">
        <v>9</v>
      </c>
      <c r="D9" s="10">
        <f>23*2600</f>
        <v>59800</v>
      </c>
      <c r="E9" s="5"/>
    </row>
    <row r="10" spans="2:5" x14ac:dyDescent="0.3">
      <c r="B10" s="3"/>
      <c r="C10" s="6"/>
      <c r="D10" s="10"/>
      <c r="E10" s="5"/>
    </row>
    <row r="11" spans="2:5" x14ac:dyDescent="0.3">
      <c r="B11" s="6"/>
      <c r="C11" s="6"/>
      <c r="D11" s="10"/>
      <c r="E11" s="5"/>
    </row>
    <row r="12" spans="2:5" x14ac:dyDescent="0.3">
      <c r="B12" s="6"/>
      <c r="C12" s="6"/>
      <c r="D12" s="10"/>
      <c r="E12" s="5"/>
    </row>
    <row r="13" spans="2:5" x14ac:dyDescent="0.3">
      <c r="B13" s="6"/>
      <c r="C13" s="2" t="s">
        <v>10</v>
      </c>
      <c r="D13" s="11">
        <f>SUM(D9:D12)</f>
        <v>59800</v>
      </c>
      <c r="E13" s="5"/>
    </row>
    <row r="14" spans="2:5" x14ac:dyDescent="0.3">
      <c r="B14" s="6"/>
      <c r="C14" s="2" t="s">
        <v>11</v>
      </c>
      <c r="D14" s="11">
        <f>D4+D13</f>
        <v>390837.7</v>
      </c>
      <c r="E14" s="5"/>
    </row>
    <row r="15" spans="2:5" x14ac:dyDescent="0.3">
      <c r="B15" s="6"/>
      <c r="C15" s="6"/>
      <c r="D15" s="5"/>
      <c r="E15" s="5"/>
    </row>
    <row r="16" spans="2:5" x14ac:dyDescent="0.3">
      <c r="B16" s="6"/>
      <c r="C16" s="2" t="s">
        <v>12</v>
      </c>
      <c r="D16" s="5"/>
      <c r="E16" s="5"/>
    </row>
    <row r="17" spans="2:5" ht="28.8" x14ac:dyDescent="0.3">
      <c r="B17" s="3">
        <v>45115</v>
      </c>
      <c r="C17" s="6" t="s">
        <v>60</v>
      </c>
      <c r="D17" s="5"/>
      <c r="E17" s="13">
        <v>18398</v>
      </c>
    </row>
    <row r="18" spans="2:5" x14ac:dyDescent="0.3">
      <c r="B18" s="3">
        <v>45124</v>
      </c>
      <c r="C18" s="6" t="s">
        <v>61</v>
      </c>
      <c r="D18" s="5"/>
      <c r="E18" s="13">
        <v>13409</v>
      </c>
    </row>
    <row r="19" spans="2:5" x14ac:dyDescent="0.3">
      <c r="B19" s="3">
        <v>45119</v>
      </c>
      <c r="C19" s="6" t="s">
        <v>30</v>
      </c>
      <c r="D19" s="5"/>
      <c r="E19" s="13">
        <v>13744</v>
      </c>
    </row>
    <row r="20" spans="2:5" x14ac:dyDescent="0.3">
      <c r="B20" s="3">
        <v>45113</v>
      </c>
      <c r="C20" s="6" t="s">
        <v>15</v>
      </c>
      <c r="D20" s="14"/>
      <c r="E20" s="5">
        <v>25000</v>
      </c>
    </row>
    <row r="21" spans="2:5" x14ac:dyDescent="0.3">
      <c r="B21" s="3">
        <v>45113</v>
      </c>
      <c r="C21" s="15" t="s">
        <v>28</v>
      </c>
      <c r="D21" s="5"/>
      <c r="E21" s="13">
        <v>10000</v>
      </c>
    </row>
    <row r="22" spans="2:5" x14ac:dyDescent="0.3">
      <c r="B22" s="3"/>
      <c r="C22" s="6"/>
      <c r="D22" s="5"/>
      <c r="E22" s="13"/>
    </row>
    <row r="23" spans="2:5" x14ac:dyDescent="0.3">
      <c r="B23" s="6"/>
      <c r="C23" s="2" t="s">
        <v>16</v>
      </c>
      <c r="D23" s="5"/>
      <c r="E23" s="11">
        <f>SUM(E17:E22)</f>
        <v>80551</v>
      </c>
    </row>
    <row r="24" spans="2:5" x14ac:dyDescent="0.3">
      <c r="B24" s="3">
        <v>45138</v>
      </c>
      <c r="C24" s="2" t="s">
        <v>17</v>
      </c>
      <c r="D24" s="11">
        <f>D14-E23</f>
        <v>310286.7</v>
      </c>
      <c r="E24" s="5"/>
    </row>
    <row r="25" spans="2:5" x14ac:dyDescent="0.3">
      <c r="B25" s="3"/>
      <c r="C25" s="2"/>
      <c r="D25" s="11"/>
      <c r="E25" s="5"/>
    </row>
    <row r="26" spans="2:5" x14ac:dyDescent="0.3">
      <c r="B26" s="3"/>
      <c r="C26" s="2" t="s">
        <v>62</v>
      </c>
      <c r="D26" s="11"/>
      <c r="E26" s="5">
        <f>-2416</f>
        <v>-2416</v>
      </c>
    </row>
    <row r="27" spans="2:5" x14ac:dyDescent="0.3">
      <c r="B27" s="6"/>
      <c r="C27" s="2"/>
      <c r="D27" s="11"/>
      <c r="E27" s="5"/>
    </row>
    <row r="28" spans="2:5" x14ac:dyDescent="0.3">
      <c r="B28" s="6"/>
      <c r="C28" s="2" t="s">
        <v>18</v>
      </c>
      <c r="D28" s="13"/>
      <c r="E28" s="4"/>
    </row>
    <row r="29" spans="2:5" x14ac:dyDescent="0.3">
      <c r="B29" s="3">
        <v>45110</v>
      </c>
      <c r="C29" s="16" t="s">
        <v>19</v>
      </c>
      <c r="D29" s="13"/>
      <c r="E29" s="10">
        <v>1500</v>
      </c>
    </row>
    <row r="30" spans="2:5" x14ac:dyDescent="0.3">
      <c r="B30" s="3">
        <v>45110</v>
      </c>
      <c r="C30" s="6" t="s">
        <v>20</v>
      </c>
      <c r="D30" s="13"/>
      <c r="E30" s="10">
        <v>500</v>
      </c>
    </row>
    <row r="31" spans="2:5" ht="28.8" x14ac:dyDescent="0.3">
      <c r="B31" s="3">
        <v>45116</v>
      </c>
      <c r="C31" s="6" t="s">
        <v>63</v>
      </c>
      <c r="D31" s="13"/>
      <c r="E31" s="10">
        <v>2900</v>
      </c>
    </row>
    <row r="32" spans="2:5" ht="28.8" x14ac:dyDescent="0.3">
      <c r="B32" s="3">
        <v>45113</v>
      </c>
      <c r="C32" s="6" t="s">
        <v>64</v>
      </c>
      <c r="D32" s="13"/>
      <c r="E32" s="10">
        <v>500</v>
      </c>
    </row>
    <row r="33" spans="2:5" x14ac:dyDescent="0.3">
      <c r="B33" s="3">
        <v>45113</v>
      </c>
      <c r="C33" s="6" t="s">
        <v>65</v>
      </c>
      <c r="D33" s="13"/>
      <c r="E33" s="10">
        <v>1500</v>
      </c>
    </row>
    <row r="34" spans="2:5" x14ac:dyDescent="0.3">
      <c r="B34" s="3">
        <v>45113</v>
      </c>
      <c r="C34" s="6"/>
      <c r="D34" s="13"/>
      <c r="E34" s="10"/>
    </row>
    <row r="35" spans="2:5" x14ac:dyDescent="0.3">
      <c r="B35" s="6"/>
      <c r="C35" s="2" t="s">
        <v>21</v>
      </c>
      <c r="D35" s="13"/>
      <c r="E35" s="4">
        <f>SUM(E29:E34)</f>
        <v>6900</v>
      </c>
    </row>
    <row r="36" spans="2:5" x14ac:dyDescent="0.3">
      <c r="B36" s="6"/>
      <c r="C36" s="2"/>
      <c r="D36" s="13"/>
      <c r="E36" s="4"/>
    </row>
    <row r="37" spans="2:5" x14ac:dyDescent="0.3">
      <c r="B37" s="3"/>
      <c r="C37" s="2" t="s">
        <v>22</v>
      </c>
      <c r="D37" s="4">
        <v>-9316</v>
      </c>
      <c r="E37" s="4"/>
    </row>
    <row r="38" spans="2:5" x14ac:dyDescent="0.3">
      <c r="B38" s="6"/>
      <c r="C38" s="6"/>
      <c r="D38" s="13"/>
      <c r="E38" s="13"/>
    </row>
    <row r="39" spans="2:5" x14ac:dyDescent="0.3">
      <c r="B39" s="3">
        <v>45138</v>
      </c>
      <c r="C39" s="2" t="s">
        <v>23</v>
      </c>
      <c r="D39" s="19">
        <v>310286.7</v>
      </c>
      <c r="E39" s="5"/>
    </row>
    <row r="40" spans="2:5" x14ac:dyDescent="0.3">
      <c r="B40" s="3">
        <v>45138</v>
      </c>
      <c r="C40" s="2" t="s">
        <v>24</v>
      </c>
      <c r="D40" s="4">
        <f>D39</f>
        <v>310286.7</v>
      </c>
      <c r="E40" s="5"/>
    </row>
    <row r="41" spans="2:5" x14ac:dyDescent="0.3">
      <c r="B41" s="1"/>
      <c r="C41" s="1"/>
      <c r="D41" s="1"/>
      <c r="E41" s="1"/>
    </row>
    <row r="42" spans="2:5" x14ac:dyDescent="0.3">
      <c r="B42" s="1"/>
      <c r="C42" s="1"/>
      <c r="D42" s="1"/>
      <c r="E42" s="1"/>
    </row>
    <row r="43" spans="2:5" x14ac:dyDescent="0.3">
      <c r="B43" s="1"/>
      <c r="C43" s="1"/>
      <c r="D43" s="1"/>
      <c r="E43" s="1"/>
    </row>
    <row r="44" spans="2:5" x14ac:dyDescent="0.3">
      <c r="B44" s="1"/>
      <c r="C44" s="1"/>
      <c r="D44" s="1"/>
      <c r="E44" s="20" t="s">
        <v>25</v>
      </c>
    </row>
  </sheetData>
  <mergeCells count="2">
    <mergeCell ref="B1:E1"/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EDF4-ACD0-477B-A3D5-1F982ED4F07A}">
  <dimension ref="B1:E44"/>
  <sheetViews>
    <sheetView workbookViewId="0">
      <selection activeCell="H17" sqref="H17"/>
    </sheetView>
  </sheetViews>
  <sheetFormatPr defaultRowHeight="14.4" x14ac:dyDescent="0.3"/>
  <cols>
    <col min="2" max="2" width="10.44140625" customWidth="1"/>
    <col min="3" max="3" width="37.33203125" bestFit="1" customWidth="1"/>
    <col min="4" max="4" width="25.33203125" customWidth="1"/>
    <col min="5" max="5" width="17" bestFit="1" customWidth="1"/>
  </cols>
  <sheetData>
    <row r="1" spans="2:5" ht="25.8" x14ac:dyDescent="0.3">
      <c r="B1" s="50" t="s">
        <v>0</v>
      </c>
      <c r="C1" s="50"/>
      <c r="D1" s="50"/>
      <c r="E1" s="50"/>
    </row>
    <row r="2" spans="2:5" ht="18" x14ac:dyDescent="0.3">
      <c r="B2" s="51" t="s">
        <v>66</v>
      </c>
      <c r="C2" s="51"/>
      <c r="D2" s="51"/>
      <c r="E2" s="51"/>
    </row>
    <row r="3" spans="2:5" x14ac:dyDescent="0.3">
      <c r="B3" s="2" t="s">
        <v>1</v>
      </c>
      <c r="C3" s="2" t="s">
        <v>2</v>
      </c>
      <c r="D3" s="2" t="s">
        <v>3</v>
      </c>
      <c r="E3" s="2" t="s">
        <v>4</v>
      </c>
    </row>
    <row r="4" spans="2:5" x14ac:dyDescent="0.3">
      <c r="B4" s="3">
        <v>45139</v>
      </c>
      <c r="C4" s="2" t="s">
        <v>5</v>
      </c>
      <c r="D4" s="4">
        <v>310286.7</v>
      </c>
      <c r="E4" s="5"/>
    </row>
    <row r="5" spans="2:5" x14ac:dyDescent="0.3">
      <c r="B5" s="6"/>
      <c r="C5" s="6" t="s">
        <v>6</v>
      </c>
      <c r="D5" s="7">
        <v>241856</v>
      </c>
      <c r="E5" s="5"/>
    </row>
    <row r="6" spans="2:5" x14ac:dyDescent="0.3">
      <c r="B6" s="6"/>
      <c r="C6" s="6" t="s">
        <v>7</v>
      </c>
      <c r="D6" s="8">
        <f>D4-D5</f>
        <v>68430.700000000012</v>
      </c>
      <c r="E6" s="5"/>
    </row>
    <row r="7" spans="2:5" x14ac:dyDescent="0.3">
      <c r="B7" s="6"/>
      <c r="C7" s="6"/>
      <c r="D7" s="5"/>
      <c r="E7" s="5"/>
    </row>
    <row r="8" spans="2:5" x14ac:dyDescent="0.3">
      <c r="B8" s="6"/>
      <c r="C8" s="2" t="s">
        <v>8</v>
      </c>
      <c r="D8" s="5"/>
      <c r="E8" s="5"/>
    </row>
    <row r="9" spans="2:5" x14ac:dyDescent="0.3">
      <c r="B9" s="6"/>
      <c r="C9" s="6" t="s">
        <v>9</v>
      </c>
      <c r="D9" s="10">
        <v>93200</v>
      </c>
      <c r="E9" s="5"/>
    </row>
    <row r="10" spans="2:5" x14ac:dyDescent="0.3">
      <c r="B10" s="3"/>
      <c r="C10" s="6"/>
      <c r="D10" s="10"/>
      <c r="E10" s="5"/>
    </row>
    <row r="11" spans="2:5" x14ac:dyDescent="0.3">
      <c r="B11" s="6"/>
      <c r="C11" s="6"/>
      <c r="D11" s="10"/>
      <c r="E11" s="5"/>
    </row>
    <row r="12" spans="2:5" x14ac:dyDescent="0.3">
      <c r="B12" s="6"/>
      <c r="C12" s="6"/>
      <c r="D12" s="10"/>
      <c r="E12" s="5"/>
    </row>
    <row r="13" spans="2:5" x14ac:dyDescent="0.3">
      <c r="B13" s="6"/>
      <c r="C13" s="2" t="s">
        <v>10</v>
      </c>
      <c r="D13" s="11">
        <f>SUM(D9:D12)</f>
        <v>93200</v>
      </c>
      <c r="E13" s="5"/>
    </row>
    <row r="14" spans="2:5" x14ac:dyDescent="0.3">
      <c r="B14" s="6"/>
      <c r="C14" s="2" t="s">
        <v>11</v>
      </c>
      <c r="D14" s="11">
        <f>D4+D13</f>
        <v>403486.7</v>
      </c>
      <c r="E14" s="5"/>
    </row>
    <row r="15" spans="2:5" x14ac:dyDescent="0.3">
      <c r="B15" s="6"/>
      <c r="C15" s="6"/>
      <c r="D15" s="5"/>
      <c r="E15" s="5"/>
    </row>
    <row r="16" spans="2:5" x14ac:dyDescent="0.3">
      <c r="B16" s="6"/>
      <c r="C16" s="2" t="s">
        <v>12</v>
      </c>
      <c r="D16" s="5"/>
      <c r="E16" s="5"/>
    </row>
    <row r="17" spans="2:5" x14ac:dyDescent="0.3">
      <c r="B17" s="3">
        <v>45155</v>
      </c>
      <c r="C17" s="6" t="s">
        <v>13</v>
      </c>
      <c r="D17" s="5"/>
      <c r="E17" s="22">
        <v>13241</v>
      </c>
    </row>
    <row r="18" spans="2:5" x14ac:dyDescent="0.3">
      <c r="B18" s="3">
        <v>45160</v>
      </c>
      <c r="C18" s="6" t="s">
        <v>30</v>
      </c>
      <c r="D18" s="5"/>
      <c r="E18" s="22">
        <v>6735</v>
      </c>
    </row>
    <row r="19" spans="2:5" x14ac:dyDescent="0.3">
      <c r="B19" s="3">
        <v>45143</v>
      </c>
      <c r="C19" s="6" t="s">
        <v>15</v>
      </c>
      <c r="D19" s="14"/>
      <c r="E19" s="24">
        <v>25000</v>
      </c>
    </row>
    <row r="20" spans="2:5" x14ac:dyDescent="0.3">
      <c r="B20" s="3">
        <v>45141</v>
      </c>
      <c r="C20" s="15" t="s">
        <v>28</v>
      </c>
      <c r="D20" s="5"/>
      <c r="E20" s="22">
        <v>10000</v>
      </c>
    </row>
    <row r="21" spans="2:5" x14ac:dyDescent="0.3">
      <c r="B21" s="21"/>
      <c r="C21" s="6"/>
      <c r="D21" s="5"/>
      <c r="E21" s="22"/>
    </row>
    <row r="22" spans="2:5" x14ac:dyDescent="0.3">
      <c r="B22" s="6"/>
      <c r="C22" s="2" t="s">
        <v>16</v>
      </c>
      <c r="D22" s="5"/>
      <c r="E22" s="11">
        <f>SUM(E17:E21)</f>
        <v>54976</v>
      </c>
    </row>
    <row r="23" spans="2:5" x14ac:dyDescent="0.3">
      <c r="B23" s="3">
        <v>45169</v>
      </c>
      <c r="C23" s="2" t="s">
        <v>17</v>
      </c>
      <c r="D23" s="11">
        <f>D14-E22</f>
        <v>348510.7</v>
      </c>
      <c r="E23" s="5"/>
    </row>
    <row r="24" spans="2:5" x14ac:dyDescent="0.3">
      <c r="B24" s="3"/>
      <c r="C24" s="2"/>
      <c r="D24" s="11"/>
      <c r="E24" s="5"/>
    </row>
    <row r="25" spans="2:5" x14ac:dyDescent="0.3">
      <c r="B25" s="3"/>
      <c r="C25" s="2" t="s">
        <v>68</v>
      </c>
      <c r="D25" s="11"/>
      <c r="E25" s="5">
        <v>-9316</v>
      </c>
    </row>
    <row r="26" spans="2:5" x14ac:dyDescent="0.3">
      <c r="B26" s="3"/>
      <c r="C26" s="2"/>
      <c r="D26" s="11"/>
      <c r="E26" s="5"/>
    </row>
    <row r="27" spans="2:5" x14ac:dyDescent="0.3">
      <c r="B27" s="6"/>
      <c r="C27" s="2"/>
      <c r="D27" s="11"/>
      <c r="E27" s="5"/>
    </row>
    <row r="28" spans="2:5" x14ac:dyDescent="0.3">
      <c r="B28" s="6"/>
      <c r="C28" s="2" t="s">
        <v>18</v>
      </c>
      <c r="D28" s="13"/>
      <c r="E28" s="4"/>
    </row>
    <row r="29" spans="2:5" x14ac:dyDescent="0.3">
      <c r="B29" s="3">
        <v>45139</v>
      </c>
      <c r="C29" s="16" t="s">
        <v>19</v>
      </c>
      <c r="D29" s="13"/>
      <c r="E29" s="10">
        <v>1500</v>
      </c>
    </row>
    <row r="30" spans="2:5" x14ac:dyDescent="0.3">
      <c r="B30" s="3">
        <v>45139</v>
      </c>
      <c r="C30" s="6" t="s">
        <v>31</v>
      </c>
      <c r="D30" s="13"/>
      <c r="E30" s="10">
        <v>500</v>
      </c>
    </row>
    <row r="31" spans="2:5" ht="43.2" x14ac:dyDescent="0.3">
      <c r="B31" s="21">
        <v>45167</v>
      </c>
      <c r="C31" s="23" t="s">
        <v>67</v>
      </c>
      <c r="D31" s="13"/>
      <c r="E31" s="10">
        <v>6180</v>
      </c>
    </row>
    <row r="32" spans="2:5" x14ac:dyDescent="0.3">
      <c r="B32" s="3"/>
      <c r="C32" s="6"/>
      <c r="D32" s="13"/>
      <c r="E32" s="10"/>
    </row>
    <row r="33" spans="2:5" x14ac:dyDescent="0.3">
      <c r="B33" s="6"/>
      <c r="C33" s="6"/>
      <c r="D33" s="13"/>
      <c r="E33" s="10"/>
    </row>
    <row r="34" spans="2:5" x14ac:dyDescent="0.3">
      <c r="B34" s="17"/>
      <c r="C34" s="6"/>
      <c r="D34" s="13"/>
      <c r="E34" s="10"/>
    </row>
    <row r="35" spans="2:5" x14ac:dyDescent="0.3">
      <c r="B35" s="6"/>
      <c r="C35" s="2" t="s">
        <v>21</v>
      </c>
      <c r="D35" s="13"/>
      <c r="E35" s="4">
        <f>SUM(E29:E34)</f>
        <v>8180</v>
      </c>
    </row>
    <row r="36" spans="2:5" x14ac:dyDescent="0.3">
      <c r="B36" s="6"/>
      <c r="C36" s="2"/>
      <c r="D36" s="13"/>
      <c r="E36" s="4"/>
    </row>
    <row r="37" spans="2:5" x14ac:dyDescent="0.3">
      <c r="B37" s="3"/>
      <c r="C37" s="2" t="s">
        <v>22</v>
      </c>
      <c r="D37" s="4">
        <v>-17496</v>
      </c>
      <c r="E37" s="4"/>
    </row>
    <row r="38" spans="2:5" x14ac:dyDescent="0.3">
      <c r="B38" s="6"/>
      <c r="C38" s="6"/>
      <c r="D38" s="13"/>
      <c r="E38" s="13"/>
    </row>
    <row r="39" spans="2:5" x14ac:dyDescent="0.3">
      <c r="B39" s="3">
        <v>45169</v>
      </c>
      <c r="C39" s="2" t="s">
        <v>23</v>
      </c>
      <c r="D39" s="19">
        <f>D23</f>
        <v>348510.7</v>
      </c>
      <c r="E39" s="5"/>
    </row>
    <row r="40" spans="2:5" x14ac:dyDescent="0.3">
      <c r="B40" s="3">
        <v>45169</v>
      </c>
      <c r="C40" s="2" t="s">
        <v>24</v>
      </c>
      <c r="D40" s="4">
        <f>D39</f>
        <v>348510.7</v>
      </c>
      <c r="E40" s="5"/>
    </row>
    <row r="41" spans="2:5" x14ac:dyDescent="0.3">
      <c r="B41" s="1"/>
      <c r="C41" s="1"/>
      <c r="D41" s="1"/>
      <c r="E41" s="1"/>
    </row>
    <row r="42" spans="2:5" x14ac:dyDescent="0.3">
      <c r="B42" s="1"/>
      <c r="C42" s="1"/>
      <c r="D42" s="1"/>
      <c r="E42" s="1"/>
    </row>
    <row r="43" spans="2:5" x14ac:dyDescent="0.3">
      <c r="B43" s="1"/>
      <c r="C43" s="1"/>
      <c r="D43" s="1"/>
      <c r="E43" s="1"/>
    </row>
    <row r="44" spans="2:5" x14ac:dyDescent="0.3">
      <c r="B44" s="1"/>
      <c r="C44" s="1"/>
      <c r="D44" s="1"/>
      <c r="E44" s="20" t="s">
        <v>25</v>
      </c>
    </row>
  </sheetData>
  <mergeCells count="2">
    <mergeCell ref="B1:E1"/>
    <mergeCell ref="B2:E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D540-A979-4790-90A1-16302055BD3E}">
  <dimension ref="B1:E44"/>
  <sheetViews>
    <sheetView workbookViewId="0">
      <selection activeCell="H10" sqref="H10"/>
    </sheetView>
  </sheetViews>
  <sheetFormatPr defaultRowHeight="14.4" x14ac:dyDescent="0.3"/>
  <cols>
    <col min="2" max="2" width="10.44140625" customWidth="1"/>
    <col min="3" max="3" width="37.33203125" bestFit="1" customWidth="1"/>
    <col min="4" max="4" width="25.33203125" customWidth="1"/>
    <col min="5" max="5" width="17" style="31" bestFit="1" customWidth="1"/>
  </cols>
  <sheetData>
    <row r="1" spans="2:5" ht="25.8" x14ac:dyDescent="0.3">
      <c r="B1" s="50" t="s">
        <v>0</v>
      </c>
      <c r="C1" s="50"/>
      <c r="D1" s="50"/>
      <c r="E1" s="50"/>
    </row>
    <row r="2" spans="2:5" ht="18" x14ac:dyDescent="0.3">
      <c r="B2" s="51" t="s">
        <v>69</v>
      </c>
      <c r="C2" s="51"/>
      <c r="D2" s="51"/>
      <c r="E2" s="51"/>
    </row>
    <row r="3" spans="2:5" x14ac:dyDescent="0.3">
      <c r="B3" s="2" t="s">
        <v>1</v>
      </c>
      <c r="C3" s="2" t="s">
        <v>2</v>
      </c>
      <c r="D3" s="2" t="s">
        <v>3</v>
      </c>
      <c r="E3" s="26" t="s">
        <v>4</v>
      </c>
    </row>
    <row r="4" spans="2:5" x14ac:dyDescent="0.3">
      <c r="B4" s="3">
        <v>45170</v>
      </c>
      <c r="C4" s="2" t="s">
        <v>5</v>
      </c>
      <c r="D4" s="4">
        <v>348510.7</v>
      </c>
      <c r="E4" s="24"/>
    </row>
    <row r="5" spans="2:5" x14ac:dyDescent="0.3">
      <c r="B5" s="6"/>
      <c r="C5" s="6" t="s">
        <v>6</v>
      </c>
      <c r="D5" s="7">
        <v>241856</v>
      </c>
      <c r="E5" s="24"/>
    </row>
    <row r="6" spans="2:5" x14ac:dyDescent="0.3">
      <c r="B6" s="6"/>
      <c r="C6" s="6" t="s">
        <v>7</v>
      </c>
      <c r="D6" s="8">
        <f>D4-D5</f>
        <v>106654.70000000001</v>
      </c>
      <c r="E6" s="24"/>
    </row>
    <row r="7" spans="2:5" x14ac:dyDescent="0.3">
      <c r="B7" s="6"/>
      <c r="C7" s="6"/>
      <c r="D7" s="5"/>
      <c r="E7" s="24"/>
    </row>
    <row r="8" spans="2:5" x14ac:dyDescent="0.3">
      <c r="B8" s="6"/>
      <c r="C8" s="2" t="s">
        <v>8</v>
      </c>
      <c r="D8" s="5"/>
      <c r="E8" s="24"/>
    </row>
    <row r="9" spans="2:5" x14ac:dyDescent="0.3">
      <c r="B9" s="6"/>
      <c r="C9" s="6" t="s">
        <v>9</v>
      </c>
      <c r="D9" s="10">
        <v>59601</v>
      </c>
      <c r="E9" s="24"/>
    </row>
    <row r="10" spans="2:5" x14ac:dyDescent="0.3">
      <c r="B10" s="6"/>
      <c r="C10" s="6"/>
      <c r="D10" s="10"/>
      <c r="E10" s="24"/>
    </row>
    <row r="11" spans="2:5" x14ac:dyDescent="0.3">
      <c r="B11" s="6"/>
      <c r="C11" s="2" t="s">
        <v>10</v>
      </c>
      <c r="D11" s="11">
        <f>SUM(D9:D10)</f>
        <v>59601</v>
      </c>
      <c r="E11" s="24"/>
    </row>
    <row r="12" spans="2:5" x14ac:dyDescent="0.3">
      <c r="B12" s="6"/>
      <c r="C12" s="2" t="s">
        <v>11</v>
      </c>
      <c r="D12" s="11">
        <f>D4+D11</f>
        <v>408111.7</v>
      </c>
      <c r="E12" s="24"/>
    </row>
    <row r="13" spans="2:5" x14ac:dyDescent="0.3">
      <c r="B13" s="6"/>
      <c r="C13" s="6"/>
      <c r="D13" s="5"/>
      <c r="E13" s="24"/>
    </row>
    <row r="14" spans="2:5" x14ac:dyDescent="0.3">
      <c r="B14" s="6"/>
      <c r="C14" s="2" t="s">
        <v>12</v>
      </c>
      <c r="D14" s="5"/>
      <c r="E14" s="24"/>
    </row>
    <row r="15" spans="2:5" x14ac:dyDescent="0.3">
      <c r="B15" s="6"/>
      <c r="C15" s="2"/>
      <c r="D15" s="5"/>
      <c r="E15" s="24"/>
    </row>
    <row r="16" spans="2:5" x14ac:dyDescent="0.3">
      <c r="B16" s="3">
        <v>45171</v>
      </c>
      <c r="C16" s="16" t="s">
        <v>70</v>
      </c>
      <c r="D16" s="5"/>
      <c r="E16" s="24">
        <v>118</v>
      </c>
    </row>
    <row r="17" spans="2:5" x14ac:dyDescent="0.3">
      <c r="B17" s="3">
        <v>45171</v>
      </c>
      <c r="C17" s="16" t="s">
        <v>71</v>
      </c>
      <c r="D17" s="5"/>
      <c r="E17" s="24">
        <v>15000</v>
      </c>
    </row>
    <row r="18" spans="2:5" x14ac:dyDescent="0.3">
      <c r="B18" s="3">
        <v>45171</v>
      </c>
      <c r="C18" s="16" t="s">
        <v>72</v>
      </c>
      <c r="D18" s="5"/>
      <c r="E18" s="24">
        <v>9649</v>
      </c>
    </row>
    <row r="19" spans="2:5" x14ac:dyDescent="0.3">
      <c r="B19" s="3">
        <v>45186</v>
      </c>
      <c r="C19" s="6" t="s">
        <v>13</v>
      </c>
      <c r="D19" s="5"/>
      <c r="E19" s="22">
        <v>12510</v>
      </c>
    </row>
    <row r="20" spans="2:5" x14ac:dyDescent="0.3">
      <c r="B20" s="3">
        <v>45189</v>
      </c>
      <c r="C20" s="6" t="s">
        <v>30</v>
      </c>
      <c r="D20" s="5"/>
      <c r="E20" s="22">
        <v>6760</v>
      </c>
    </row>
    <row r="21" spans="2:5" x14ac:dyDescent="0.3">
      <c r="B21" s="3">
        <v>45181</v>
      </c>
      <c r="C21" s="6" t="s">
        <v>15</v>
      </c>
      <c r="D21" s="14"/>
      <c r="E21" s="24">
        <v>27500</v>
      </c>
    </row>
    <row r="22" spans="2:5" x14ac:dyDescent="0.3">
      <c r="B22" s="3">
        <v>45173</v>
      </c>
      <c r="C22" s="15" t="s">
        <v>28</v>
      </c>
      <c r="D22" s="5"/>
      <c r="E22" s="22">
        <v>10000</v>
      </c>
    </row>
    <row r="23" spans="2:5" x14ac:dyDescent="0.3">
      <c r="B23" s="3"/>
      <c r="C23" s="15"/>
      <c r="D23" s="5"/>
      <c r="E23" s="22"/>
    </row>
    <row r="24" spans="2:5" x14ac:dyDescent="0.3">
      <c r="B24" s="6"/>
      <c r="C24" s="2" t="s">
        <v>16</v>
      </c>
      <c r="D24" s="5"/>
      <c r="E24" s="27">
        <f>SUM(E16:E22)</f>
        <v>81537</v>
      </c>
    </row>
    <row r="25" spans="2:5" x14ac:dyDescent="0.3">
      <c r="B25" s="3">
        <v>45199</v>
      </c>
      <c r="C25" s="2" t="s">
        <v>17</v>
      </c>
      <c r="D25" s="11">
        <f>D12-E24</f>
        <v>326574.7</v>
      </c>
      <c r="E25" s="24"/>
    </row>
    <row r="26" spans="2:5" x14ac:dyDescent="0.3">
      <c r="B26" s="6"/>
      <c r="C26" s="2"/>
      <c r="D26" s="11"/>
      <c r="E26" s="24"/>
    </row>
    <row r="27" spans="2:5" x14ac:dyDescent="0.3">
      <c r="B27" s="6"/>
      <c r="C27" s="2" t="s">
        <v>73</v>
      </c>
      <c r="D27" s="5"/>
      <c r="E27" s="28">
        <v>-17496</v>
      </c>
    </row>
    <row r="28" spans="2:5" x14ac:dyDescent="0.3">
      <c r="B28" s="6"/>
      <c r="C28" s="2"/>
      <c r="D28" s="5"/>
      <c r="E28" s="28"/>
    </row>
    <row r="29" spans="2:5" x14ac:dyDescent="0.3">
      <c r="B29" s="6"/>
      <c r="C29" s="2" t="s">
        <v>18</v>
      </c>
      <c r="D29" s="13"/>
      <c r="E29" s="28"/>
    </row>
    <row r="30" spans="2:5" x14ac:dyDescent="0.3">
      <c r="B30" s="3"/>
      <c r="C30" s="41" t="s">
        <v>74</v>
      </c>
      <c r="E30" s="45">
        <v>1500</v>
      </c>
    </row>
    <row r="31" spans="2:5" x14ac:dyDescent="0.3">
      <c r="B31" s="3"/>
      <c r="C31" s="16" t="s">
        <v>75</v>
      </c>
      <c r="D31" s="43"/>
      <c r="E31" s="42">
        <v>500</v>
      </c>
    </row>
    <row r="32" spans="2:5" ht="28.8" x14ac:dyDescent="0.3">
      <c r="B32" s="21"/>
      <c r="C32" s="23" t="s">
        <v>76</v>
      </c>
      <c r="D32" s="44"/>
      <c r="E32" s="42">
        <v>150</v>
      </c>
    </row>
    <row r="33" spans="2:5" x14ac:dyDescent="0.3">
      <c r="B33" s="21"/>
      <c r="C33" s="6"/>
      <c r="D33" s="13"/>
      <c r="E33" s="25"/>
    </row>
    <row r="34" spans="2:5" x14ac:dyDescent="0.3">
      <c r="B34" s="17"/>
      <c r="C34" s="6"/>
      <c r="D34" s="13"/>
      <c r="E34" s="25"/>
    </row>
    <row r="35" spans="2:5" x14ac:dyDescent="0.3">
      <c r="B35" s="6"/>
      <c r="C35" s="2" t="s">
        <v>21</v>
      </c>
      <c r="D35" s="13"/>
      <c r="E35" s="28">
        <f>SUM(E27:E34)</f>
        <v>-15346</v>
      </c>
    </row>
    <row r="36" spans="2:5" x14ac:dyDescent="0.3">
      <c r="B36" s="6"/>
      <c r="C36" s="2"/>
      <c r="D36" s="13"/>
      <c r="E36" s="28"/>
    </row>
    <row r="37" spans="2:5" x14ac:dyDescent="0.3">
      <c r="B37" s="3"/>
      <c r="C37" s="2" t="s">
        <v>22</v>
      </c>
      <c r="D37" s="4">
        <v>-346</v>
      </c>
      <c r="E37" s="28"/>
    </row>
    <row r="38" spans="2:5" x14ac:dyDescent="0.3">
      <c r="B38" s="6"/>
      <c r="C38" s="6"/>
      <c r="D38" s="13"/>
      <c r="E38" s="22"/>
    </row>
    <row r="39" spans="2:5" x14ac:dyDescent="0.3">
      <c r="B39" s="3">
        <v>45199</v>
      </c>
      <c r="C39" s="2" t="s">
        <v>23</v>
      </c>
      <c r="D39" s="19">
        <f>D25</f>
        <v>326574.7</v>
      </c>
      <c r="E39" s="24"/>
    </row>
    <row r="40" spans="2:5" x14ac:dyDescent="0.3">
      <c r="B40" s="3">
        <v>45199</v>
      </c>
      <c r="C40" s="2" t="s">
        <v>24</v>
      </c>
      <c r="D40" s="4">
        <f>D39</f>
        <v>326574.7</v>
      </c>
      <c r="E40" s="24"/>
    </row>
    <row r="41" spans="2:5" x14ac:dyDescent="0.3">
      <c r="B41" s="1"/>
      <c r="C41" s="1"/>
      <c r="D41" s="1"/>
      <c r="E41" s="29"/>
    </row>
    <row r="42" spans="2:5" x14ac:dyDescent="0.3">
      <c r="B42" s="1"/>
      <c r="C42" s="1"/>
      <c r="D42" s="1"/>
      <c r="E42" s="29"/>
    </row>
    <row r="43" spans="2:5" x14ac:dyDescent="0.3">
      <c r="B43" s="1"/>
      <c r="C43" s="1"/>
      <c r="D43" s="1"/>
      <c r="E43" s="29"/>
    </row>
    <row r="44" spans="2:5" x14ac:dyDescent="0.3">
      <c r="B44" s="1"/>
      <c r="C44" s="1"/>
      <c r="D44" s="1"/>
      <c r="E44" s="30" t="s">
        <v>25</v>
      </c>
    </row>
  </sheetData>
  <mergeCells count="2">
    <mergeCell ref="B1:E1"/>
    <mergeCell ref="B2:E2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24F2-7409-4419-92FD-D8ED142D7D9C}">
  <dimension ref="B1:E130"/>
  <sheetViews>
    <sheetView workbookViewId="0">
      <selection activeCell="H26" sqref="H26"/>
    </sheetView>
  </sheetViews>
  <sheetFormatPr defaultRowHeight="14.4" x14ac:dyDescent="0.3"/>
  <cols>
    <col min="2" max="2" width="10.44140625" customWidth="1"/>
    <col min="3" max="3" width="37.33203125" bestFit="1" customWidth="1"/>
    <col min="4" max="4" width="25.33203125" customWidth="1"/>
    <col min="5" max="5" width="17" bestFit="1" customWidth="1"/>
  </cols>
  <sheetData>
    <row r="1" spans="2:5" ht="25.8" x14ac:dyDescent="0.3">
      <c r="B1" s="50" t="s">
        <v>0</v>
      </c>
      <c r="C1" s="50"/>
      <c r="D1" s="50"/>
      <c r="E1" s="50"/>
    </row>
    <row r="2" spans="2:5" ht="18" x14ac:dyDescent="0.3">
      <c r="B2" s="51" t="s">
        <v>81</v>
      </c>
      <c r="C2" s="51"/>
      <c r="D2" s="51"/>
      <c r="E2" s="51"/>
    </row>
    <row r="3" spans="2:5" x14ac:dyDescent="0.3">
      <c r="B3" s="2" t="s">
        <v>1</v>
      </c>
      <c r="C3" s="2" t="s">
        <v>2</v>
      </c>
      <c r="D3" s="2" t="s">
        <v>3</v>
      </c>
      <c r="E3" s="26" t="s">
        <v>4</v>
      </c>
    </row>
    <row r="4" spans="2:5" x14ac:dyDescent="0.3">
      <c r="B4" s="21">
        <v>45200</v>
      </c>
      <c r="C4" s="2" t="s">
        <v>5</v>
      </c>
      <c r="D4" s="4">
        <v>326574.7</v>
      </c>
      <c r="E4" s="24"/>
    </row>
    <row r="5" spans="2:5" x14ac:dyDescent="0.3">
      <c r="B5" s="23"/>
      <c r="C5" s="6" t="s">
        <v>6</v>
      </c>
      <c r="D5" s="7">
        <v>241856</v>
      </c>
      <c r="E5" s="24"/>
    </row>
    <row r="6" spans="2:5" x14ac:dyDescent="0.3">
      <c r="B6" s="23"/>
      <c r="C6" s="6" t="s">
        <v>7</v>
      </c>
      <c r="D6" s="8">
        <f>D4-D5</f>
        <v>84718.700000000012</v>
      </c>
      <c r="E6" s="24"/>
    </row>
    <row r="7" spans="2:5" x14ac:dyDescent="0.3">
      <c r="B7" s="23"/>
      <c r="C7" s="6"/>
      <c r="D7" s="5"/>
      <c r="E7" s="24"/>
    </row>
    <row r="8" spans="2:5" x14ac:dyDescent="0.3">
      <c r="B8" s="23"/>
      <c r="C8" s="2" t="s">
        <v>8</v>
      </c>
      <c r="D8" s="5"/>
      <c r="E8" s="24"/>
    </row>
    <row r="9" spans="2:5" x14ac:dyDescent="0.3">
      <c r="B9" s="23"/>
      <c r="C9" s="6" t="s">
        <v>9</v>
      </c>
      <c r="D9" s="10">
        <v>67600</v>
      </c>
      <c r="E9" s="24"/>
    </row>
    <row r="10" spans="2:5" x14ac:dyDescent="0.3">
      <c r="B10" s="21"/>
      <c r="C10" s="6"/>
      <c r="D10" s="10"/>
      <c r="E10" s="24"/>
    </row>
    <row r="11" spans="2:5" x14ac:dyDescent="0.3">
      <c r="B11" s="23"/>
      <c r="C11" s="2" t="s">
        <v>10</v>
      </c>
      <c r="D11" s="11">
        <f>SUM(D9:D10)</f>
        <v>67600</v>
      </c>
      <c r="E11" s="24"/>
    </row>
    <row r="12" spans="2:5" x14ac:dyDescent="0.3">
      <c r="B12" s="23"/>
      <c r="C12" s="2" t="s">
        <v>11</v>
      </c>
      <c r="D12" s="11">
        <f>D4+D11</f>
        <v>394174.7</v>
      </c>
      <c r="E12" s="24"/>
    </row>
    <row r="13" spans="2:5" x14ac:dyDescent="0.3">
      <c r="B13" s="23"/>
      <c r="C13" s="6"/>
      <c r="D13" s="5"/>
      <c r="E13" s="24"/>
    </row>
    <row r="14" spans="2:5" x14ac:dyDescent="0.3">
      <c r="B14" s="23"/>
      <c r="C14" s="2" t="s">
        <v>12</v>
      </c>
      <c r="D14" s="5"/>
      <c r="E14" s="24"/>
    </row>
    <row r="15" spans="2:5" x14ac:dyDescent="0.3">
      <c r="B15" s="21"/>
      <c r="C15" s="16"/>
      <c r="D15" s="5"/>
      <c r="E15" s="24"/>
    </row>
    <row r="16" spans="2:5" x14ac:dyDescent="0.3">
      <c r="B16" s="21">
        <v>45216</v>
      </c>
      <c r="C16" s="6" t="s">
        <v>13</v>
      </c>
      <c r="D16" s="5"/>
      <c r="E16" s="22">
        <v>11802</v>
      </c>
    </row>
    <row r="17" spans="2:5" x14ac:dyDescent="0.3">
      <c r="B17" s="21">
        <v>45218</v>
      </c>
      <c r="C17" s="6" t="s">
        <v>30</v>
      </c>
      <c r="D17" s="5"/>
      <c r="E17" s="22">
        <v>7090</v>
      </c>
    </row>
    <row r="18" spans="2:5" x14ac:dyDescent="0.3">
      <c r="B18" s="21">
        <v>45208</v>
      </c>
      <c r="C18" s="6" t="s">
        <v>15</v>
      </c>
      <c r="D18" s="14"/>
      <c r="E18" s="24">
        <v>27500</v>
      </c>
    </row>
    <row r="19" spans="2:5" x14ac:dyDescent="0.3">
      <c r="B19" s="21">
        <v>45215</v>
      </c>
      <c r="C19" s="15" t="s">
        <v>28</v>
      </c>
      <c r="D19" s="5"/>
      <c r="E19" s="22">
        <v>10000</v>
      </c>
    </row>
    <row r="20" spans="2:5" ht="28.8" x14ac:dyDescent="0.3">
      <c r="B20" s="21">
        <v>45216</v>
      </c>
      <c r="C20" s="6" t="s">
        <v>32</v>
      </c>
      <c r="D20" s="5"/>
      <c r="E20" s="22">
        <v>10000</v>
      </c>
    </row>
    <row r="21" spans="2:5" ht="28.8" x14ac:dyDescent="0.3">
      <c r="B21" s="21">
        <v>45226</v>
      </c>
      <c r="C21" s="6" t="s">
        <v>35</v>
      </c>
      <c r="D21" s="5"/>
      <c r="E21" s="22">
        <v>22199</v>
      </c>
    </row>
    <row r="22" spans="2:5" x14ac:dyDescent="0.3">
      <c r="B22" s="21"/>
      <c r="C22" s="6"/>
      <c r="D22" s="5"/>
      <c r="E22" s="22"/>
    </row>
    <row r="23" spans="2:5" x14ac:dyDescent="0.3">
      <c r="B23" s="23"/>
      <c r="C23" s="2" t="s">
        <v>16</v>
      </c>
      <c r="D23" s="5"/>
      <c r="E23" s="27">
        <f>SUM(E15:E21)</f>
        <v>88591</v>
      </c>
    </row>
    <row r="24" spans="2:5" x14ac:dyDescent="0.3">
      <c r="B24" s="21">
        <v>45230</v>
      </c>
      <c r="C24" s="2" t="s">
        <v>17</v>
      </c>
      <c r="D24" s="11">
        <f>D12-E23</f>
        <v>305583.7</v>
      </c>
      <c r="E24" s="24"/>
    </row>
    <row r="25" spans="2:5" x14ac:dyDescent="0.3">
      <c r="B25" s="21"/>
      <c r="C25" s="2"/>
      <c r="D25" s="11"/>
      <c r="E25" s="24"/>
    </row>
    <row r="26" spans="2:5" x14ac:dyDescent="0.3">
      <c r="B26" s="21"/>
      <c r="C26" s="2" t="s">
        <v>77</v>
      </c>
      <c r="D26" s="11"/>
      <c r="E26" s="24">
        <v>10323</v>
      </c>
    </row>
    <row r="27" spans="2:5" x14ac:dyDescent="0.3">
      <c r="B27" s="23"/>
      <c r="C27" s="2"/>
      <c r="D27" s="11"/>
      <c r="E27" s="24"/>
    </row>
    <row r="28" spans="2:5" x14ac:dyDescent="0.3">
      <c r="B28" s="23"/>
      <c r="C28" s="2" t="s">
        <v>18</v>
      </c>
      <c r="D28" s="13"/>
      <c r="E28" s="28"/>
    </row>
    <row r="29" spans="2:5" x14ac:dyDescent="0.3">
      <c r="B29" s="21"/>
      <c r="C29" s="16"/>
      <c r="D29" s="13"/>
      <c r="E29" s="25"/>
    </row>
    <row r="30" spans="2:5" x14ac:dyDescent="0.3">
      <c r="B30" s="21">
        <v>45201</v>
      </c>
      <c r="C30" s="47" t="s">
        <v>31</v>
      </c>
      <c r="D30" s="13"/>
      <c r="E30" s="25">
        <v>500</v>
      </c>
    </row>
    <row r="31" spans="2:5" x14ac:dyDescent="0.3">
      <c r="B31" s="21">
        <v>45201</v>
      </c>
      <c r="C31" s="47" t="s">
        <v>33</v>
      </c>
      <c r="D31" s="13"/>
      <c r="E31" s="25">
        <v>1500</v>
      </c>
    </row>
    <row r="32" spans="2:5" x14ac:dyDescent="0.3">
      <c r="B32" s="21">
        <v>45219</v>
      </c>
      <c r="C32" s="46" t="s">
        <v>78</v>
      </c>
      <c r="D32" s="13"/>
      <c r="E32" s="25">
        <v>500</v>
      </c>
    </row>
    <row r="33" spans="2:5" ht="28.8" x14ac:dyDescent="0.3">
      <c r="B33" s="21">
        <v>45222</v>
      </c>
      <c r="C33" s="47" t="s">
        <v>80</v>
      </c>
      <c r="D33" s="13"/>
      <c r="E33" s="25">
        <v>3000</v>
      </c>
    </row>
    <row r="34" spans="2:5" x14ac:dyDescent="0.3">
      <c r="B34" s="21">
        <v>45221</v>
      </c>
      <c r="C34" s="47" t="s">
        <v>34</v>
      </c>
      <c r="D34" s="13"/>
      <c r="E34" s="25">
        <v>2300</v>
      </c>
    </row>
    <row r="35" spans="2:5" x14ac:dyDescent="0.3">
      <c r="B35" s="21">
        <v>45222</v>
      </c>
      <c r="C35" s="47" t="s">
        <v>79</v>
      </c>
      <c r="D35" s="13"/>
      <c r="E35" s="25">
        <v>200</v>
      </c>
    </row>
    <row r="36" spans="2:5" x14ac:dyDescent="0.3">
      <c r="B36" s="17"/>
      <c r="C36" s="47"/>
      <c r="D36" s="13"/>
      <c r="E36" s="25"/>
    </row>
    <row r="37" spans="2:5" x14ac:dyDescent="0.3">
      <c r="B37" s="6"/>
      <c r="C37" s="2" t="s">
        <v>21</v>
      </c>
      <c r="D37" s="13"/>
      <c r="E37" s="28">
        <f>SUM(E29:E35)</f>
        <v>8000</v>
      </c>
    </row>
    <row r="38" spans="2:5" x14ac:dyDescent="0.3">
      <c r="B38" s="6"/>
      <c r="C38" s="2"/>
      <c r="D38" s="13"/>
      <c r="E38" s="28"/>
    </row>
    <row r="39" spans="2:5" x14ac:dyDescent="0.3">
      <c r="B39" s="3"/>
      <c r="C39" s="2" t="s">
        <v>22</v>
      </c>
      <c r="D39" s="4">
        <v>3356</v>
      </c>
      <c r="E39" s="28"/>
    </row>
    <row r="40" spans="2:5" x14ac:dyDescent="0.3">
      <c r="B40" s="6"/>
      <c r="C40" s="6"/>
      <c r="D40" s="13"/>
      <c r="E40" s="22"/>
    </row>
    <row r="41" spans="2:5" x14ac:dyDescent="0.3">
      <c r="B41" s="3">
        <v>45230</v>
      </c>
      <c r="C41" s="2" t="s">
        <v>23</v>
      </c>
      <c r="D41" s="19">
        <f>D24</f>
        <v>305583.7</v>
      </c>
      <c r="E41" s="24"/>
    </row>
    <row r="42" spans="2:5" x14ac:dyDescent="0.3">
      <c r="B42" s="3">
        <v>45230</v>
      </c>
      <c r="C42" s="2" t="s">
        <v>24</v>
      </c>
      <c r="D42" s="4">
        <f>D41</f>
        <v>305583.7</v>
      </c>
      <c r="E42" s="24"/>
    </row>
    <row r="43" spans="2:5" x14ac:dyDescent="0.3">
      <c r="B43" s="1"/>
      <c r="C43" s="1"/>
      <c r="D43" s="1"/>
      <c r="E43" s="29"/>
    </row>
    <row r="44" spans="2:5" x14ac:dyDescent="0.3">
      <c r="B44" s="1"/>
      <c r="C44" s="1"/>
      <c r="D44" s="1"/>
      <c r="E44" s="29"/>
    </row>
    <row r="45" spans="2:5" x14ac:dyDescent="0.3">
      <c r="B45" s="1"/>
      <c r="C45" s="1"/>
      <c r="D45" s="1"/>
      <c r="E45" s="29"/>
    </row>
    <row r="46" spans="2:5" x14ac:dyDescent="0.3">
      <c r="B46" s="1"/>
      <c r="C46" s="1"/>
      <c r="D46" s="1"/>
      <c r="E46" s="30" t="s">
        <v>25</v>
      </c>
    </row>
    <row r="47" spans="2:5" x14ac:dyDescent="0.3">
      <c r="E47" s="31"/>
    </row>
    <row r="48" spans="2:5" x14ac:dyDescent="0.3">
      <c r="E48" s="31"/>
    </row>
    <row r="49" spans="5:5" x14ac:dyDescent="0.3">
      <c r="E49" s="31"/>
    </row>
    <row r="50" spans="5:5" x14ac:dyDescent="0.3">
      <c r="E50" s="31"/>
    </row>
    <row r="51" spans="5:5" x14ac:dyDescent="0.3">
      <c r="E51" s="31"/>
    </row>
    <row r="52" spans="5:5" x14ac:dyDescent="0.3">
      <c r="E52" s="31"/>
    </row>
    <row r="53" spans="5:5" x14ac:dyDescent="0.3">
      <c r="E53" s="31"/>
    </row>
    <row r="54" spans="5:5" x14ac:dyDescent="0.3">
      <c r="E54" s="31"/>
    </row>
    <row r="55" spans="5:5" x14ac:dyDescent="0.3">
      <c r="E55" s="31"/>
    </row>
    <row r="56" spans="5:5" x14ac:dyDescent="0.3">
      <c r="E56" s="31"/>
    </row>
    <row r="57" spans="5:5" x14ac:dyDescent="0.3">
      <c r="E57" s="31"/>
    </row>
    <row r="58" spans="5:5" x14ac:dyDescent="0.3">
      <c r="E58" s="31"/>
    </row>
    <row r="59" spans="5:5" x14ac:dyDescent="0.3">
      <c r="E59" s="31"/>
    </row>
    <row r="60" spans="5:5" x14ac:dyDescent="0.3">
      <c r="E60" s="31"/>
    </row>
    <row r="61" spans="5:5" x14ac:dyDescent="0.3">
      <c r="E61" s="31"/>
    </row>
    <row r="62" spans="5:5" x14ac:dyDescent="0.3">
      <c r="E62" s="31"/>
    </row>
    <row r="63" spans="5:5" x14ac:dyDescent="0.3">
      <c r="E63" s="31"/>
    </row>
    <row r="64" spans="5:5" x14ac:dyDescent="0.3">
      <c r="E64" s="31"/>
    </row>
    <row r="65" spans="5:5" x14ac:dyDescent="0.3">
      <c r="E65" s="31"/>
    </row>
    <row r="66" spans="5:5" x14ac:dyDescent="0.3">
      <c r="E66" s="31"/>
    </row>
    <row r="67" spans="5:5" x14ac:dyDescent="0.3">
      <c r="E67" s="31"/>
    </row>
    <row r="68" spans="5:5" x14ac:dyDescent="0.3">
      <c r="E68" s="31"/>
    </row>
    <row r="69" spans="5:5" x14ac:dyDescent="0.3">
      <c r="E69" s="31"/>
    </row>
    <row r="70" spans="5:5" x14ac:dyDescent="0.3">
      <c r="E70" s="31"/>
    </row>
    <row r="71" spans="5:5" x14ac:dyDescent="0.3">
      <c r="E71" s="31"/>
    </row>
    <row r="72" spans="5:5" x14ac:dyDescent="0.3">
      <c r="E72" s="31"/>
    </row>
    <row r="73" spans="5:5" x14ac:dyDescent="0.3">
      <c r="E73" s="31"/>
    </row>
    <row r="74" spans="5:5" x14ac:dyDescent="0.3">
      <c r="E74" s="31"/>
    </row>
    <row r="75" spans="5:5" x14ac:dyDescent="0.3">
      <c r="E75" s="31"/>
    </row>
    <row r="76" spans="5:5" x14ac:dyDescent="0.3">
      <c r="E76" s="31"/>
    </row>
    <row r="77" spans="5:5" x14ac:dyDescent="0.3">
      <c r="E77" s="31"/>
    </row>
    <row r="78" spans="5:5" x14ac:dyDescent="0.3">
      <c r="E78" s="31"/>
    </row>
    <row r="79" spans="5:5" x14ac:dyDescent="0.3">
      <c r="E79" s="31"/>
    </row>
    <row r="80" spans="5:5" x14ac:dyDescent="0.3">
      <c r="E80" s="31"/>
    </row>
    <row r="81" spans="5:5" x14ac:dyDescent="0.3">
      <c r="E81" s="31"/>
    </row>
    <row r="82" spans="5:5" x14ac:dyDescent="0.3">
      <c r="E82" s="31"/>
    </row>
    <row r="83" spans="5:5" x14ac:dyDescent="0.3">
      <c r="E83" s="31"/>
    </row>
    <row r="84" spans="5:5" x14ac:dyDescent="0.3">
      <c r="E84" s="31"/>
    </row>
    <row r="85" spans="5:5" x14ac:dyDescent="0.3">
      <c r="E85" s="31"/>
    </row>
    <row r="86" spans="5:5" x14ac:dyDescent="0.3">
      <c r="E86" s="31"/>
    </row>
    <row r="87" spans="5:5" x14ac:dyDescent="0.3">
      <c r="E87" s="31"/>
    </row>
    <row r="88" spans="5:5" x14ac:dyDescent="0.3">
      <c r="E88" s="31"/>
    </row>
    <row r="89" spans="5:5" x14ac:dyDescent="0.3">
      <c r="E89" s="31"/>
    </row>
    <row r="90" spans="5:5" x14ac:dyDescent="0.3">
      <c r="E90" s="31"/>
    </row>
    <row r="91" spans="5:5" x14ac:dyDescent="0.3">
      <c r="E91" s="31"/>
    </row>
    <row r="92" spans="5:5" x14ac:dyDescent="0.3">
      <c r="E92" s="31"/>
    </row>
    <row r="93" spans="5:5" x14ac:dyDescent="0.3">
      <c r="E93" s="31"/>
    </row>
    <row r="94" spans="5:5" x14ac:dyDescent="0.3">
      <c r="E94" s="31"/>
    </row>
    <row r="95" spans="5:5" x14ac:dyDescent="0.3">
      <c r="E95" s="31"/>
    </row>
    <row r="96" spans="5:5" x14ac:dyDescent="0.3">
      <c r="E96" s="31"/>
    </row>
    <row r="97" spans="5:5" x14ac:dyDescent="0.3">
      <c r="E97" s="31"/>
    </row>
    <row r="98" spans="5:5" x14ac:dyDescent="0.3">
      <c r="E98" s="31"/>
    </row>
    <row r="99" spans="5:5" x14ac:dyDescent="0.3">
      <c r="E99" s="31"/>
    </row>
    <row r="100" spans="5:5" x14ac:dyDescent="0.3">
      <c r="E100" s="31"/>
    </row>
    <row r="101" spans="5:5" x14ac:dyDescent="0.3">
      <c r="E101" s="31"/>
    </row>
    <row r="102" spans="5:5" x14ac:dyDescent="0.3">
      <c r="E102" s="31"/>
    </row>
    <row r="103" spans="5:5" x14ac:dyDescent="0.3">
      <c r="E103" s="31"/>
    </row>
    <row r="104" spans="5:5" x14ac:dyDescent="0.3">
      <c r="E104" s="31"/>
    </row>
    <row r="105" spans="5:5" x14ac:dyDescent="0.3">
      <c r="E105" s="31"/>
    </row>
    <row r="106" spans="5:5" x14ac:dyDescent="0.3">
      <c r="E106" s="31"/>
    </row>
    <row r="107" spans="5:5" x14ac:dyDescent="0.3">
      <c r="E107" s="31"/>
    </row>
    <row r="108" spans="5:5" x14ac:dyDescent="0.3">
      <c r="E108" s="31"/>
    </row>
    <row r="109" spans="5:5" x14ac:dyDescent="0.3">
      <c r="E109" s="31"/>
    </row>
    <row r="110" spans="5:5" x14ac:dyDescent="0.3">
      <c r="E110" s="31"/>
    </row>
    <row r="111" spans="5:5" x14ac:dyDescent="0.3">
      <c r="E111" s="31"/>
    </row>
    <row r="112" spans="5:5" x14ac:dyDescent="0.3">
      <c r="E112" s="31"/>
    </row>
    <row r="113" spans="5:5" x14ac:dyDescent="0.3">
      <c r="E113" s="31"/>
    </row>
    <row r="114" spans="5:5" x14ac:dyDescent="0.3">
      <c r="E114" s="31"/>
    </row>
    <row r="115" spans="5:5" x14ac:dyDescent="0.3">
      <c r="E115" s="31"/>
    </row>
    <row r="116" spans="5:5" x14ac:dyDescent="0.3">
      <c r="E116" s="31"/>
    </row>
    <row r="117" spans="5:5" x14ac:dyDescent="0.3">
      <c r="E117" s="31"/>
    </row>
    <row r="118" spans="5:5" x14ac:dyDescent="0.3">
      <c r="E118" s="31"/>
    </row>
    <row r="119" spans="5:5" x14ac:dyDescent="0.3">
      <c r="E119" s="31"/>
    </row>
    <row r="120" spans="5:5" x14ac:dyDescent="0.3">
      <c r="E120" s="31"/>
    </row>
    <row r="121" spans="5:5" x14ac:dyDescent="0.3">
      <c r="E121" s="31"/>
    </row>
    <row r="122" spans="5:5" x14ac:dyDescent="0.3">
      <c r="E122" s="31"/>
    </row>
    <row r="123" spans="5:5" x14ac:dyDescent="0.3">
      <c r="E123" s="31"/>
    </row>
    <row r="124" spans="5:5" x14ac:dyDescent="0.3">
      <c r="E124" s="31"/>
    </row>
    <row r="125" spans="5:5" x14ac:dyDescent="0.3">
      <c r="E125" s="31"/>
    </row>
    <row r="126" spans="5:5" x14ac:dyDescent="0.3">
      <c r="E126" s="31"/>
    </row>
    <row r="127" spans="5:5" x14ac:dyDescent="0.3">
      <c r="E127" s="31"/>
    </row>
    <row r="128" spans="5:5" x14ac:dyDescent="0.3">
      <c r="E128" s="31"/>
    </row>
    <row r="129" spans="5:5" x14ac:dyDescent="0.3">
      <c r="E129" s="31"/>
    </row>
    <row r="130" spans="5:5" x14ac:dyDescent="0.3">
      <c r="E130" s="31"/>
    </row>
  </sheetData>
  <mergeCells count="2">
    <mergeCell ref="B1:E1"/>
    <mergeCell ref="B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26BE-192F-406B-82AD-B3FB9C1B5DEF}">
  <dimension ref="B1:I40"/>
  <sheetViews>
    <sheetView topLeftCell="A13" workbookViewId="0">
      <selection activeCell="K8" sqref="K8:K14"/>
    </sheetView>
  </sheetViews>
  <sheetFormatPr defaultRowHeight="14.4" x14ac:dyDescent="0.3"/>
  <cols>
    <col min="2" max="2" width="10.44140625" customWidth="1"/>
    <col min="3" max="3" width="37.33203125" bestFit="1" customWidth="1"/>
    <col min="4" max="4" width="25.33203125" customWidth="1"/>
    <col min="5" max="5" width="17" bestFit="1" customWidth="1"/>
  </cols>
  <sheetData>
    <row r="1" spans="2:9" ht="25.8" x14ac:dyDescent="0.3">
      <c r="B1" s="50" t="s">
        <v>0</v>
      </c>
      <c r="C1" s="50"/>
      <c r="D1" s="50"/>
      <c r="E1" s="50"/>
    </row>
    <row r="2" spans="2:9" ht="18" x14ac:dyDescent="0.3">
      <c r="B2" s="51" t="s">
        <v>82</v>
      </c>
      <c r="C2" s="51"/>
      <c r="D2" s="51"/>
      <c r="E2" s="51"/>
    </row>
    <row r="3" spans="2:9" x14ac:dyDescent="0.3">
      <c r="B3" s="2" t="s">
        <v>1</v>
      </c>
      <c r="C3" s="2" t="s">
        <v>2</v>
      </c>
      <c r="D3" s="2" t="s">
        <v>3</v>
      </c>
      <c r="E3" s="26" t="s">
        <v>4</v>
      </c>
    </row>
    <row r="4" spans="2:9" x14ac:dyDescent="0.3">
      <c r="B4" s="21">
        <v>45231</v>
      </c>
      <c r="C4" s="2" t="s">
        <v>5</v>
      </c>
      <c r="D4" s="4">
        <v>305583.7</v>
      </c>
      <c r="E4" s="24"/>
    </row>
    <row r="5" spans="2:9" x14ac:dyDescent="0.3">
      <c r="B5" s="23"/>
      <c r="C5" s="6" t="s">
        <v>6</v>
      </c>
      <c r="D5" s="7">
        <v>241856</v>
      </c>
      <c r="E5" s="24"/>
      <c r="I5" s="48"/>
    </row>
    <row r="6" spans="2:9" x14ac:dyDescent="0.3">
      <c r="B6" s="23"/>
      <c r="C6" s="6" t="s">
        <v>7</v>
      </c>
      <c r="D6" s="8">
        <f>D4-D5</f>
        <v>63727.700000000012</v>
      </c>
      <c r="E6" s="24"/>
    </row>
    <row r="7" spans="2:9" x14ac:dyDescent="0.3">
      <c r="B7" s="23"/>
      <c r="C7" s="6"/>
      <c r="D7" s="5"/>
      <c r="E7" s="24"/>
    </row>
    <row r="8" spans="2:9" x14ac:dyDescent="0.3">
      <c r="B8" s="23"/>
      <c r="C8" s="2" t="s">
        <v>8</v>
      </c>
      <c r="D8" s="5"/>
      <c r="E8" s="24"/>
    </row>
    <row r="9" spans="2:9" x14ac:dyDescent="0.3">
      <c r="B9" s="21">
        <v>45260</v>
      </c>
      <c r="C9" s="6" t="s">
        <v>9</v>
      </c>
      <c r="D9" s="10">
        <v>101800</v>
      </c>
      <c r="E9" s="24"/>
    </row>
    <row r="10" spans="2:9" x14ac:dyDescent="0.3">
      <c r="B10" s="21">
        <v>45252</v>
      </c>
      <c r="C10" s="6" t="s">
        <v>84</v>
      </c>
      <c r="D10" s="10">
        <v>7910</v>
      </c>
      <c r="E10" s="24"/>
    </row>
    <row r="11" spans="2:9" x14ac:dyDescent="0.3">
      <c r="B11" s="23"/>
      <c r="C11" s="6"/>
      <c r="D11" s="10"/>
      <c r="E11" s="24"/>
    </row>
    <row r="12" spans="2:9" x14ac:dyDescent="0.3">
      <c r="B12" s="23"/>
      <c r="C12" s="2" t="s">
        <v>10</v>
      </c>
      <c r="D12" s="11">
        <f>SUM(D9:D11)</f>
        <v>109710</v>
      </c>
      <c r="E12" s="24"/>
    </row>
    <row r="13" spans="2:9" x14ac:dyDescent="0.3">
      <c r="B13" s="23"/>
      <c r="C13" s="2" t="s">
        <v>11</v>
      </c>
      <c r="D13" s="11">
        <f>D4+D12</f>
        <v>415293.7</v>
      </c>
      <c r="E13" s="24"/>
    </row>
    <row r="14" spans="2:9" x14ac:dyDescent="0.3">
      <c r="B14" s="23"/>
      <c r="C14" s="6"/>
      <c r="D14" s="5"/>
      <c r="E14" s="24"/>
    </row>
    <row r="15" spans="2:9" x14ac:dyDescent="0.3">
      <c r="B15" s="23"/>
      <c r="C15" s="2" t="s">
        <v>12</v>
      </c>
      <c r="D15" s="5"/>
      <c r="E15" s="24"/>
    </row>
    <row r="16" spans="2:9" x14ac:dyDescent="0.3">
      <c r="B16" s="21"/>
      <c r="C16" s="16"/>
      <c r="D16" s="5"/>
      <c r="E16" s="24"/>
    </row>
    <row r="17" spans="2:5" x14ac:dyDescent="0.3">
      <c r="B17" s="21">
        <v>45247</v>
      </c>
      <c r="C17" s="6" t="s">
        <v>13</v>
      </c>
      <c r="D17" s="5"/>
      <c r="E17" s="22">
        <v>11624</v>
      </c>
    </row>
    <row r="18" spans="2:5" x14ac:dyDescent="0.3">
      <c r="B18" s="21">
        <v>45251</v>
      </c>
      <c r="C18" s="6" t="s">
        <v>30</v>
      </c>
      <c r="D18" s="5"/>
      <c r="E18" s="22">
        <v>6826</v>
      </c>
    </row>
    <row r="19" spans="2:5" x14ac:dyDescent="0.3">
      <c r="B19" s="21">
        <v>45244</v>
      </c>
      <c r="C19" s="6" t="s">
        <v>15</v>
      </c>
      <c r="D19" s="14"/>
      <c r="E19" s="24">
        <v>27500</v>
      </c>
    </row>
    <row r="20" spans="2:5" x14ac:dyDescent="0.3">
      <c r="B20" s="21">
        <v>45236</v>
      </c>
      <c r="C20" s="15" t="s">
        <v>28</v>
      </c>
      <c r="D20" s="5"/>
      <c r="E20" s="22">
        <v>10000</v>
      </c>
    </row>
    <row r="21" spans="2:5" ht="43.2" x14ac:dyDescent="0.3">
      <c r="B21" s="21">
        <v>45253</v>
      </c>
      <c r="C21" s="23" t="s">
        <v>83</v>
      </c>
      <c r="D21" s="5"/>
      <c r="E21" s="22">
        <v>250000</v>
      </c>
    </row>
    <row r="22" spans="2:5" x14ac:dyDescent="0.3">
      <c r="B22" s="23"/>
      <c r="C22" s="2" t="s">
        <v>16</v>
      </c>
      <c r="D22" s="5"/>
      <c r="E22" s="27">
        <f>SUM(E16:E21)</f>
        <v>305950</v>
      </c>
    </row>
    <row r="23" spans="2:5" x14ac:dyDescent="0.3">
      <c r="B23" s="21">
        <v>45260</v>
      </c>
      <c r="C23" s="2" t="s">
        <v>17</v>
      </c>
      <c r="D23" s="11">
        <f>D13-E22</f>
        <v>109343.70000000001</v>
      </c>
      <c r="E23" s="24"/>
    </row>
    <row r="24" spans="2:5" x14ac:dyDescent="0.3">
      <c r="B24" s="21"/>
      <c r="C24" s="2"/>
      <c r="D24" s="11"/>
      <c r="E24" s="24"/>
    </row>
    <row r="25" spans="2:5" x14ac:dyDescent="0.3">
      <c r="B25" s="21"/>
      <c r="C25" s="26" t="s">
        <v>85</v>
      </c>
      <c r="D25" s="11"/>
      <c r="E25" s="27">
        <v>3356</v>
      </c>
    </row>
    <row r="26" spans="2:5" x14ac:dyDescent="0.3">
      <c r="B26" s="23"/>
      <c r="C26" s="2"/>
      <c r="D26" s="11"/>
      <c r="E26" s="24"/>
    </row>
    <row r="27" spans="2:5" x14ac:dyDescent="0.3">
      <c r="B27" s="23"/>
      <c r="C27" s="2" t="s">
        <v>18</v>
      </c>
      <c r="D27" s="13"/>
      <c r="E27" s="28"/>
    </row>
    <row r="28" spans="2:5" x14ac:dyDescent="0.3">
      <c r="B28" s="21">
        <v>45232</v>
      </c>
      <c r="C28" s="6" t="s">
        <v>31</v>
      </c>
      <c r="D28" s="13"/>
      <c r="E28" s="25">
        <v>500</v>
      </c>
    </row>
    <row r="29" spans="2:5" x14ac:dyDescent="0.3">
      <c r="B29" s="21">
        <v>45232</v>
      </c>
      <c r="C29" s="6" t="s">
        <v>33</v>
      </c>
      <c r="D29" s="13"/>
      <c r="E29" s="25">
        <v>1500</v>
      </c>
    </row>
    <row r="30" spans="2:5" x14ac:dyDescent="0.3">
      <c r="B30" s="21">
        <v>45233</v>
      </c>
      <c r="C30" s="15" t="s">
        <v>86</v>
      </c>
      <c r="D30" s="13"/>
      <c r="E30" s="25">
        <v>690</v>
      </c>
    </row>
    <row r="31" spans="2:5" x14ac:dyDescent="0.3">
      <c r="B31" s="21">
        <v>45239</v>
      </c>
      <c r="C31" s="15" t="s">
        <v>87</v>
      </c>
      <c r="D31" s="13"/>
      <c r="E31" s="25">
        <v>160</v>
      </c>
    </row>
    <row r="32" spans="2:5" x14ac:dyDescent="0.3">
      <c r="B32" s="21">
        <v>45248</v>
      </c>
      <c r="C32" s="15" t="s">
        <v>89</v>
      </c>
      <c r="D32" s="13"/>
      <c r="E32" s="25">
        <v>1500</v>
      </c>
    </row>
    <row r="33" spans="2:5" ht="28.8" x14ac:dyDescent="0.3">
      <c r="B33" s="21">
        <v>45249</v>
      </c>
      <c r="C33" s="6" t="s">
        <v>88</v>
      </c>
      <c r="D33" s="13"/>
      <c r="E33" s="25">
        <v>1050</v>
      </c>
    </row>
    <row r="34" spans="2:5" x14ac:dyDescent="0.3">
      <c r="B34" s="17"/>
      <c r="C34" s="6"/>
      <c r="D34" s="13"/>
      <c r="E34" s="25"/>
    </row>
    <row r="35" spans="2:5" x14ac:dyDescent="0.3">
      <c r="B35" s="6"/>
      <c r="C35" s="2" t="s">
        <v>21</v>
      </c>
      <c r="D35" s="13"/>
      <c r="E35" s="28">
        <f>SUM(E28:E33)</f>
        <v>5400</v>
      </c>
    </row>
    <row r="36" spans="2:5" x14ac:dyDescent="0.3">
      <c r="B36" s="6"/>
      <c r="C36" s="2"/>
      <c r="D36" s="13"/>
      <c r="E36" s="28"/>
    </row>
    <row r="37" spans="2:5" x14ac:dyDescent="0.3">
      <c r="B37" s="3"/>
      <c r="C37" s="2" t="s">
        <v>22</v>
      </c>
      <c r="D37" s="4">
        <f>E25-E35</f>
        <v>-2044</v>
      </c>
      <c r="E37" s="28"/>
    </row>
    <row r="38" spans="2:5" x14ac:dyDescent="0.3">
      <c r="B38" s="6"/>
      <c r="C38" s="6"/>
      <c r="D38" s="13"/>
      <c r="E38" s="22"/>
    </row>
    <row r="39" spans="2:5" x14ac:dyDescent="0.3">
      <c r="B39" s="3">
        <v>45260</v>
      </c>
      <c r="C39" s="2" t="s">
        <v>23</v>
      </c>
      <c r="D39" s="19">
        <f>D23</f>
        <v>109343.70000000001</v>
      </c>
      <c r="E39" s="24"/>
    </row>
    <row r="40" spans="2:5" x14ac:dyDescent="0.3">
      <c r="B40" s="3">
        <v>45260</v>
      </c>
      <c r="C40" s="2" t="s">
        <v>24</v>
      </c>
      <c r="D40" s="4">
        <f>D39</f>
        <v>109343.70000000001</v>
      </c>
      <c r="E40" s="24"/>
    </row>
  </sheetData>
  <mergeCells count="2">
    <mergeCell ref="B1:E1"/>
    <mergeCell ref="B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9616-1914-4066-BDE1-C3982C891865}">
  <dimension ref="B1:E38"/>
  <sheetViews>
    <sheetView topLeftCell="A4" workbookViewId="0">
      <selection activeCell="J11" sqref="J11"/>
    </sheetView>
  </sheetViews>
  <sheetFormatPr defaultRowHeight="14.4" x14ac:dyDescent="0.3"/>
  <cols>
    <col min="2" max="2" width="10.44140625" customWidth="1"/>
    <col min="3" max="3" width="37.33203125" bestFit="1" customWidth="1"/>
    <col min="4" max="4" width="25.33203125" customWidth="1"/>
    <col min="5" max="5" width="17" style="32" bestFit="1" customWidth="1"/>
  </cols>
  <sheetData>
    <row r="1" spans="2:5" ht="25.8" x14ac:dyDescent="0.3">
      <c r="B1" s="50" t="s">
        <v>0</v>
      </c>
      <c r="C1" s="50"/>
      <c r="D1" s="50"/>
      <c r="E1" s="50"/>
    </row>
    <row r="2" spans="2:5" ht="18" x14ac:dyDescent="0.3">
      <c r="B2" s="51" t="s">
        <v>90</v>
      </c>
      <c r="C2" s="51"/>
      <c r="D2" s="51"/>
      <c r="E2" s="51"/>
    </row>
    <row r="3" spans="2:5" x14ac:dyDescent="0.3">
      <c r="B3" s="2" t="s">
        <v>1</v>
      </c>
      <c r="C3" s="2" t="s">
        <v>2</v>
      </c>
      <c r="D3" s="2" t="s">
        <v>3</v>
      </c>
      <c r="E3" s="26" t="s">
        <v>4</v>
      </c>
    </row>
    <row r="4" spans="2:5" x14ac:dyDescent="0.3">
      <c r="B4" s="21">
        <v>45261</v>
      </c>
      <c r="C4" s="2" t="s">
        <v>5</v>
      </c>
      <c r="D4" s="4">
        <v>109343.7</v>
      </c>
      <c r="E4" s="24"/>
    </row>
    <row r="5" spans="2:5" x14ac:dyDescent="0.3">
      <c r="B5" s="23"/>
      <c r="C5" s="6" t="s">
        <v>6</v>
      </c>
      <c r="D5" s="7">
        <v>7910</v>
      </c>
      <c r="E5" s="24"/>
    </row>
    <row r="6" spans="2:5" x14ac:dyDescent="0.3">
      <c r="B6" s="23"/>
      <c r="C6" s="6" t="s">
        <v>7</v>
      </c>
      <c r="D6" s="8">
        <f>D4-D5</f>
        <v>101433.7</v>
      </c>
      <c r="E6" s="24"/>
    </row>
    <row r="7" spans="2:5" x14ac:dyDescent="0.3">
      <c r="B7" s="23"/>
      <c r="C7" s="6"/>
      <c r="D7" s="5"/>
      <c r="E7" s="24"/>
    </row>
    <row r="8" spans="2:5" x14ac:dyDescent="0.3">
      <c r="B8" s="23"/>
      <c r="C8" s="2" t="s">
        <v>8</v>
      </c>
      <c r="D8" s="5"/>
      <c r="E8" s="24"/>
    </row>
    <row r="9" spans="2:5" x14ac:dyDescent="0.3">
      <c r="B9" s="23"/>
      <c r="C9" s="6" t="s">
        <v>9</v>
      </c>
      <c r="D9" s="10">
        <v>67600</v>
      </c>
      <c r="E9" s="24"/>
    </row>
    <row r="10" spans="2:5" x14ac:dyDescent="0.3">
      <c r="B10" s="21"/>
      <c r="C10" s="6" t="s">
        <v>91</v>
      </c>
      <c r="D10" s="10">
        <v>18450</v>
      </c>
      <c r="E10" s="24"/>
    </row>
    <row r="11" spans="2:5" x14ac:dyDescent="0.3">
      <c r="B11" s="23"/>
      <c r="C11" s="6"/>
      <c r="D11" s="10"/>
      <c r="E11" s="24"/>
    </row>
    <row r="12" spans="2:5" x14ac:dyDescent="0.3">
      <c r="B12" s="23"/>
      <c r="C12" s="6"/>
      <c r="D12" s="10"/>
      <c r="E12" s="24"/>
    </row>
    <row r="13" spans="2:5" x14ac:dyDescent="0.3">
      <c r="B13" s="23"/>
      <c r="C13" s="2" t="s">
        <v>10</v>
      </c>
      <c r="D13" s="11">
        <f>SUM(D9:D12)</f>
        <v>86050</v>
      </c>
      <c r="E13" s="24"/>
    </row>
    <row r="14" spans="2:5" x14ac:dyDescent="0.3">
      <c r="B14" s="23"/>
      <c r="C14" s="2" t="s">
        <v>11</v>
      </c>
      <c r="D14" s="11">
        <f>D4+D13</f>
        <v>195393.7</v>
      </c>
      <c r="E14" s="24"/>
    </row>
    <row r="15" spans="2:5" x14ac:dyDescent="0.3">
      <c r="B15" s="23"/>
      <c r="C15" s="6"/>
      <c r="D15" s="5"/>
      <c r="E15" s="24"/>
    </row>
    <row r="16" spans="2:5" x14ac:dyDescent="0.3">
      <c r="B16" s="23"/>
      <c r="C16" s="2" t="s">
        <v>12</v>
      </c>
      <c r="D16" s="5"/>
      <c r="E16" s="24"/>
    </row>
    <row r="17" spans="2:5" x14ac:dyDescent="0.3">
      <c r="B17" s="21"/>
      <c r="C17" s="16"/>
      <c r="D17" s="5"/>
      <c r="E17" s="24"/>
    </row>
    <row r="18" spans="2:5" x14ac:dyDescent="0.3">
      <c r="B18" s="21">
        <v>45277</v>
      </c>
      <c r="C18" s="6" t="s">
        <v>13</v>
      </c>
      <c r="D18" s="5"/>
      <c r="E18" s="22">
        <v>11670</v>
      </c>
    </row>
    <row r="19" spans="2:5" x14ac:dyDescent="0.3">
      <c r="B19" s="21">
        <v>45279</v>
      </c>
      <c r="C19" s="6" t="s">
        <v>30</v>
      </c>
      <c r="D19" s="5"/>
      <c r="E19" s="22">
        <v>6958</v>
      </c>
    </row>
    <row r="20" spans="2:5" x14ac:dyDescent="0.3">
      <c r="B20" s="21">
        <v>45267</v>
      </c>
      <c r="C20" s="6" t="s">
        <v>15</v>
      </c>
      <c r="D20" s="14"/>
      <c r="E20" s="24">
        <v>27500</v>
      </c>
    </row>
    <row r="21" spans="2:5" x14ac:dyDescent="0.3">
      <c r="B21" s="21">
        <v>45267</v>
      </c>
      <c r="C21" s="15" t="s">
        <v>28</v>
      </c>
      <c r="D21" s="5"/>
      <c r="E21" s="22">
        <v>10000</v>
      </c>
    </row>
    <row r="22" spans="2:5" x14ac:dyDescent="0.3">
      <c r="B22" s="21"/>
      <c r="C22" s="6"/>
      <c r="D22" s="5"/>
      <c r="E22" s="22"/>
    </row>
    <row r="23" spans="2:5" x14ac:dyDescent="0.3">
      <c r="B23" s="23"/>
      <c r="C23" s="2" t="s">
        <v>16</v>
      </c>
      <c r="D23" s="5"/>
      <c r="E23" s="27">
        <f>SUM(E17:E21)</f>
        <v>56128</v>
      </c>
    </row>
    <row r="24" spans="2:5" x14ac:dyDescent="0.3">
      <c r="B24" s="21">
        <v>45291</v>
      </c>
      <c r="C24" s="2" t="s">
        <v>17</v>
      </c>
      <c r="D24" s="11">
        <f>D14-E23</f>
        <v>139265.70000000001</v>
      </c>
      <c r="E24" s="24"/>
    </row>
    <row r="25" spans="2:5" x14ac:dyDescent="0.3">
      <c r="B25" s="21"/>
      <c r="C25" s="2"/>
      <c r="D25" s="11"/>
      <c r="E25" s="24"/>
    </row>
    <row r="26" spans="2:5" x14ac:dyDescent="0.3">
      <c r="B26" s="21"/>
      <c r="C26" s="26" t="s">
        <v>92</v>
      </c>
      <c r="D26" s="11"/>
      <c r="E26" s="4">
        <f>-2044</f>
        <v>-2044</v>
      </c>
    </row>
    <row r="27" spans="2:5" x14ac:dyDescent="0.3">
      <c r="B27" s="23"/>
      <c r="C27" s="2"/>
      <c r="D27" s="11"/>
      <c r="E27" s="24"/>
    </row>
    <row r="28" spans="2:5" x14ac:dyDescent="0.3">
      <c r="B28" s="23"/>
      <c r="C28" s="2" t="s">
        <v>18</v>
      </c>
      <c r="D28" s="13"/>
      <c r="E28" s="28"/>
    </row>
    <row r="29" spans="2:5" x14ac:dyDescent="0.3">
      <c r="B29" s="21"/>
      <c r="C29" s="16"/>
      <c r="D29" s="13"/>
      <c r="E29" s="25"/>
    </row>
    <row r="30" spans="2:5" x14ac:dyDescent="0.3">
      <c r="B30" s="21">
        <v>45262</v>
      </c>
      <c r="C30" s="6" t="s">
        <v>31</v>
      </c>
      <c r="D30" s="13"/>
      <c r="E30" s="25">
        <v>500</v>
      </c>
    </row>
    <row r="31" spans="2:5" x14ac:dyDescent="0.3">
      <c r="B31" s="21">
        <v>45262</v>
      </c>
      <c r="C31" s="6" t="s">
        <v>33</v>
      </c>
      <c r="D31" s="13"/>
      <c r="E31" s="25">
        <v>1500</v>
      </c>
    </row>
    <row r="32" spans="2:5" x14ac:dyDescent="0.3">
      <c r="B32" s="17"/>
      <c r="C32" s="6"/>
      <c r="D32" s="13"/>
      <c r="E32" s="25"/>
    </row>
    <row r="33" spans="2:5" x14ac:dyDescent="0.3">
      <c r="B33" s="6"/>
      <c r="C33" s="2" t="s">
        <v>21</v>
      </c>
      <c r="D33" s="13"/>
      <c r="E33" s="28">
        <f>SUM(E29:E31)</f>
        <v>2000</v>
      </c>
    </row>
    <row r="34" spans="2:5" x14ac:dyDescent="0.3">
      <c r="B34" s="6"/>
      <c r="C34" s="2"/>
      <c r="D34" s="13"/>
      <c r="E34" s="28"/>
    </row>
    <row r="35" spans="2:5" x14ac:dyDescent="0.3">
      <c r="B35" s="3"/>
      <c r="C35" s="2" t="s">
        <v>36</v>
      </c>
      <c r="D35" s="4">
        <f>E26-E33</f>
        <v>-4044</v>
      </c>
      <c r="E35" s="28"/>
    </row>
    <row r="36" spans="2:5" x14ac:dyDescent="0.3">
      <c r="B36" s="6"/>
      <c r="C36" s="6"/>
      <c r="D36" s="13"/>
      <c r="E36" s="22"/>
    </row>
    <row r="37" spans="2:5" x14ac:dyDescent="0.3">
      <c r="B37" s="3">
        <v>45291</v>
      </c>
      <c r="C37" s="2" t="s">
        <v>23</v>
      </c>
      <c r="D37" s="19">
        <f>D24</f>
        <v>139265.70000000001</v>
      </c>
      <c r="E37" s="24"/>
    </row>
    <row r="38" spans="2:5" x14ac:dyDescent="0.3">
      <c r="B38" s="3">
        <v>45291</v>
      </c>
      <c r="C38" s="2" t="s">
        <v>24</v>
      </c>
      <c r="D38" s="4">
        <f>D37</f>
        <v>139265.70000000001</v>
      </c>
      <c r="E38" s="24"/>
    </row>
  </sheetData>
  <mergeCells count="2">
    <mergeCell ref="B1:E1"/>
    <mergeCell ref="B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4554-ACA7-4D6D-BF63-6A418A7124C1}">
  <sheetPr>
    <pageSetUpPr fitToPage="1"/>
  </sheetPr>
  <dimension ref="B2:E47"/>
  <sheetViews>
    <sheetView topLeftCell="A13" workbookViewId="0">
      <selection activeCell="C29" sqref="C29"/>
    </sheetView>
  </sheetViews>
  <sheetFormatPr defaultRowHeight="14.4" x14ac:dyDescent="0.3"/>
  <cols>
    <col min="2" max="2" width="10.44140625" customWidth="1"/>
    <col min="3" max="3" width="37.33203125" bestFit="1" customWidth="1"/>
    <col min="4" max="4" width="25.33203125" style="18" customWidth="1"/>
    <col min="5" max="5" width="17" bestFit="1" customWidth="1"/>
  </cols>
  <sheetData>
    <row r="2" spans="2:5" ht="25.8" x14ac:dyDescent="0.3">
      <c r="B2" s="50" t="s">
        <v>0</v>
      </c>
      <c r="C2" s="50"/>
      <c r="D2" s="50"/>
      <c r="E2" s="50"/>
    </row>
    <row r="3" spans="2:5" ht="18" x14ac:dyDescent="0.3">
      <c r="B3" s="51" t="s">
        <v>93</v>
      </c>
      <c r="C3" s="51"/>
      <c r="D3" s="51"/>
      <c r="E3" s="51"/>
    </row>
    <row r="4" spans="2:5" x14ac:dyDescent="0.3">
      <c r="B4" s="2" t="s">
        <v>1</v>
      </c>
      <c r="C4" s="2" t="s">
        <v>2</v>
      </c>
      <c r="D4" s="26" t="s">
        <v>3</v>
      </c>
      <c r="E4" s="26" t="s">
        <v>4</v>
      </c>
    </row>
    <row r="5" spans="2:5" x14ac:dyDescent="0.3">
      <c r="B5" s="21">
        <v>45292</v>
      </c>
      <c r="C5" s="2" t="s">
        <v>5</v>
      </c>
      <c r="D5" s="28">
        <v>139265.70000000001</v>
      </c>
      <c r="E5" s="24"/>
    </row>
    <row r="6" spans="2:5" x14ac:dyDescent="0.3">
      <c r="B6" s="23"/>
      <c r="C6" s="6" t="s">
        <v>6</v>
      </c>
      <c r="D6" s="25">
        <v>18216</v>
      </c>
      <c r="E6" s="24"/>
    </row>
    <row r="7" spans="2:5" x14ac:dyDescent="0.3">
      <c r="B7" s="23"/>
      <c r="C7" s="6" t="s">
        <v>7</v>
      </c>
      <c r="D7" s="33">
        <f>D5-D6</f>
        <v>121049.70000000001</v>
      </c>
      <c r="E7" s="24"/>
    </row>
    <row r="8" spans="2:5" x14ac:dyDescent="0.3">
      <c r="B8" s="23"/>
      <c r="C8" s="6"/>
      <c r="D8" s="24"/>
      <c r="E8" s="24"/>
    </row>
    <row r="9" spans="2:5" x14ac:dyDescent="0.3">
      <c r="B9" s="23"/>
      <c r="C9" s="2" t="s">
        <v>8</v>
      </c>
      <c r="D9" s="24"/>
      <c r="E9" s="24"/>
    </row>
    <row r="10" spans="2:5" x14ac:dyDescent="0.3">
      <c r="B10" s="23"/>
      <c r="C10" s="6" t="s">
        <v>9</v>
      </c>
      <c r="D10" s="25">
        <v>65000</v>
      </c>
      <c r="E10" s="24"/>
    </row>
    <row r="11" spans="2:5" x14ac:dyDescent="0.3">
      <c r="B11" s="21"/>
      <c r="C11" s="6"/>
      <c r="D11" s="25"/>
      <c r="E11" s="24"/>
    </row>
    <row r="12" spans="2:5" x14ac:dyDescent="0.3">
      <c r="B12" s="23"/>
      <c r="C12" s="6"/>
      <c r="D12" s="25"/>
      <c r="E12" s="24"/>
    </row>
    <row r="13" spans="2:5" x14ac:dyDescent="0.3">
      <c r="B13" s="23"/>
      <c r="C13" s="6"/>
      <c r="D13" s="25"/>
      <c r="E13" s="24"/>
    </row>
    <row r="14" spans="2:5" x14ac:dyDescent="0.3">
      <c r="B14" s="23"/>
      <c r="C14" s="2" t="s">
        <v>10</v>
      </c>
      <c r="D14" s="27">
        <f>SUM(D10:D13)</f>
        <v>65000</v>
      </c>
      <c r="E14" s="24"/>
    </row>
    <row r="15" spans="2:5" x14ac:dyDescent="0.3">
      <c r="B15" s="23"/>
      <c r="C15" s="2" t="s">
        <v>11</v>
      </c>
      <c r="D15" s="27">
        <f>D5+D14</f>
        <v>204265.7</v>
      </c>
      <c r="E15" s="24"/>
    </row>
    <row r="16" spans="2:5" x14ac:dyDescent="0.3">
      <c r="B16" s="23"/>
      <c r="C16" s="6"/>
      <c r="D16" s="24"/>
      <c r="E16" s="24"/>
    </row>
    <row r="17" spans="2:5" x14ac:dyDescent="0.3">
      <c r="B17" s="23"/>
      <c r="C17" s="2" t="s">
        <v>12</v>
      </c>
      <c r="D17" s="24"/>
      <c r="E17" s="24"/>
    </row>
    <row r="18" spans="2:5" x14ac:dyDescent="0.3">
      <c r="B18" s="21"/>
      <c r="C18" s="16"/>
      <c r="D18" s="24"/>
      <c r="E18" s="24"/>
    </row>
    <row r="19" spans="2:5" x14ac:dyDescent="0.3">
      <c r="B19" s="21">
        <v>45308</v>
      </c>
      <c r="C19" s="6" t="s">
        <v>13</v>
      </c>
      <c r="D19" s="24"/>
      <c r="E19" s="22">
        <v>11627</v>
      </c>
    </row>
    <row r="20" spans="2:5" x14ac:dyDescent="0.3">
      <c r="B20" s="21">
        <v>45308</v>
      </c>
      <c r="C20" s="6" t="s">
        <v>30</v>
      </c>
      <c r="D20" s="24"/>
      <c r="E20" s="22">
        <v>7046</v>
      </c>
    </row>
    <row r="21" spans="2:5" x14ac:dyDescent="0.3">
      <c r="B21" s="21">
        <v>45296</v>
      </c>
      <c r="C21" s="6" t="s">
        <v>15</v>
      </c>
      <c r="D21" s="23"/>
      <c r="E21" s="24">
        <v>27500</v>
      </c>
    </row>
    <row r="22" spans="2:5" x14ac:dyDescent="0.3">
      <c r="B22" s="21">
        <v>45295</v>
      </c>
      <c r="C22" s="6" t="s">
        <v>99</v>
      </c>
      <c r="D22" s="24"/>
      <c r="E22" s="22">
        <v>10000</v>
      </c>
    </row>
    <row r="23" spans="2:5" ht="86.4" x14ac:dyDescent="0.3">
      <c r="B23" s="21">
        <v>45303</v>
      </c>
      <c r="C23" s="6" t="s">
        <v>94</v>
      </c>
      <c r="D23" s="24"/>
      <c r="E23" s="22">
        <v>30000</v>
      </c>
    </row>
    <row r="24" spans="2:5" x14ac:dyDescent="0.3">
      <c r="B24" s="21">
        <v>45307</v>
      </c>
      <c r="C24" s="6" t="s">
        <v>95</v>
      </c>
      <c r="D24" s="24"/>
      <c r="E24" s="22">
        <v>15000</v>
      </c>
    </row>
    <row r="25" spans="2:5" ht="28.8" x14ac:dyDescent="0.3">
      <c r="B25" s="21">
        <v>45313</v>
      </c>
      <c r="C25" s="6" t="s">
        <v>96</v>
      </c>
      <c r="D25" s="24"/>
      <c r="E25" s="22">
        <v>30000</v>
      </c>
    </row>
    <row r="26" spans="2:5" x14ac:dyDescent="0.3">
      <c r="B26" s="23"/>
      <c r="C26" s="2" t="s">
        <v>16</v>
      </c>
      <c r="D26" s="24"/>
      <c r="E26" s="27">
        <f>SUM(E18:E25)</f>
        <v>131173</v>
      </c>
    </row>
    <row r="27" spans="2:5" x14ac:dyDescent="0.3">
      <c r="B27" s="21">
        <v>45322</v>
      </c>
      <c r="C27" s="2" t="s">
        <v>17</v>
      </c>
      <c r="D27" s="27">
        <f>D15-E26</f>
        <v>73092.700000000012</v>
      </c>
      <c r="E27" s="24"/>
    </row>
    <row r="28" spans="2:5" x14ac:dyDescent="0.3">
      <c r="B28" s="23"/>
      <c r="C28" s="2"/>
      <c r="D28" s="27"/>
      <c r="E28" s="24"/>
    </row>
    <row r="29" spans="2:5" x14ac:dyDescent="0.3">
      <c r="B29" s="23"/>
      <c r="C29" s="26" t="s">
        <v>97</v>
      </c>
      <c r="D29" s="27"/>
      <c r="E29" s="27">
        <v>-4044</v>
      </c>
    </row>
    <row r="30" spans="2:5" x14ac:dyDescent="0.3">
      <c r="B30" s="23"/>
      <c r="C30" s="2"/>
      <c r="D30" s="27"/>
      <c r="E30" s="24"/>
    </row>
    <row r="31" spans="2:5" x14ac:dyDescent="0.3">
      <c r="B31" s="23"/>
      <c r="C31" s="2" t="s">
        <v>18</v>
      </c>
      <c r="D31" s="22"/>
      <c r="E31" s="28"/>
    </row>
    <row r="32" spans="2:5" x14ac:dyDescent="0.3">
      <c r="B32" s="21"/>
      <c r="C32" s="16"/>
      <c r="D32" s="22"/>
      <c r="E32" s="25"/>
    </row>
    <row r="33" spans="2:5" x14ac:dyDescent="0.3">
      <c r="B33" s="21">
        <v>45293</v>
      </c>
      <c r="C33" s="6" t="s">
        <v>31</v>
      </c>
      <c r="D33" s="22"/>
      <c r="E33" s="25">
        <v>500</v>
      </c>
    </row>
    <row r="34" spans="2:5" x14ac:dyDescent="0.3">
      <c r="B34" s="21">
        <v>45293</v>
      </c>
      <c r="C34" s="6" t="s">
        <v>33</v>
      </c>
      <c r="D34" s="22"/>
      <c r="E34" s="25">
        <v>1500</v>
      </c>
    </row>
    <row r="35" spans="2:5" x14ac:dyDescent="0.3">
      <c r="B35" s="21">
        <v>45295</v>
      </c>
      <c r="C35" s="6" t="s">
        <v>98</v>
      </c>
      <c r="D35" s="22"/>
      <c r="E35" s="25">
        <v>158</v>
      </c>
    </row>
    <row r="36" spans="2:5" x14ac:dyDescent="0.3">
      <c r="B36" s="21"/>
      <c r="C36" s="6"/>
      <c r="D36" s="22"/>
      <c r="E36" s="25"/>
    </row>
    <row r="37" spans="2:5" x14ac:dyDescent="0.3">
      <c r="B37" s="6"/>
      <c r="C37" s="2" t="s">
        <v>21</v>
      </c>
      <c r="D37" s="22"/>
      <c r="E37" s="28">
        <f>SUM(E32:E35)</f>
        <v>2158</v>
      </c>
    </row>
    <row r="38" spans="2:5" x14ac:dyDescent="0.3">
      <c r="B38" s="6"/>
      <c r="C38" s="2"/>
      <c r="D38" s="22"/>
      <c r="E38" s="28"/>
    </row>
    <row r="39" spans="2:5" x14ac:dyDescent="0.3">
      <c r="B39" s="3"/>
      <c r="C39" s="2" t="s">
        <v>36</v>
      </c>
      <c r="D39" s="4">
        <f>E29-E37</f>
        <v>-6202</v>
      </c>
      <c r="E39" s="28"/>
    </row>
    <row r="40" spans="2:5" x14ac:dyDescent="0.3">
      <c r="B40" s="6"/>
      <c r="C40" s="6"/>
      <c r="D40" s="22"/>
      <c r="E40" s="22"/>
    </row>
    <row r="41" spans="2:5" x14ac:dyDescent="0.3">
      <c r="B41" s="3">
        <v>45322</v>
      </c>
      <c r="C41" s="2" t="s">
        <v>23</v>
      </c>
      <c r="D41" s="34">
        <f>D27</f>
        <v>73092.700000000012</v>
      </c>
      <c r="E41" s="24"/>
    </row>
    <row r="42" spans="2:5" x14ac:dyDescent="0.3">
      <c r="B42" s="3">
        <v>45322</v>
      </c>
      <c r="C42" s="2" t="s">
        <v>24</v>
      </c>
      <c r="D42" s="28">
        <f>D41</f>
        <v>73092.700000000012</v>
      </c>
      <c r="E42" s="24"/>
    </row>
    <row r="44" spans="2:5" x14ac:dyDescent="0.3">
      <c r="C44" s="35"/>
    </row>
    <row r="47" spans="2:5" x14ac:dyDescent="0.3">
      <c r="E47" s="30" t="s">
        <v>25</v>
      </c>
    </row>
  </sheetData>
  <mergeCells count="2">
    <mergeCell ref="B2:E2"/>
    <mergeCell ref="B3:E3"/>
  </mergeCells>
  <pageMargins left="0.7" right="0.7" top="0.75" bottom="0.75" header="0.3" footer="0.3"/>
  <pageSetup paperSize="9" scale="8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AC1F-6E71-48FC-96CD-0D843043E0DF}">
  <dimension ref="B1:E57"/>
  <sheetViews>
    <sheetView topLeftCell="A4" workbookViewId="0">
      <selection activeCell="H22" sqref="H22"/>
    </sheetView>
  </sheetViews>
  <sheetFormatPr defaultRowHeight="14.4" x14ac:dyDescent="0.3"/>
  <cols>
    <col min="2" max="2" width="10.44140625" customWidth="1"/>
    <col min="3" max="3" width="37.33203125" bestFit="1" customWidth="1"/>
    <col min="4" max="4" width="25.33203125" customWidth="1"/>
    <col min="5" max="5" width="17" bestFit="1" customWidth="1"/>
  </cols>
  <sheetData>
    <row r="1" spans="2:5" x14ac:dyDescent="0.3">
      <c r="D1" s="18"/>
    </row>
    <row r="2" spans="2:5" ht="25.8" x14ac:dyDescent="0.3">
      <c r="B2" s="50" t="s">
        <v>0</v>
      </c>
      <c r="C2" s="50"/>
      <c r="D2" s="50"/>
      <c r="E2" s="50"/>
    </row>
    <row r="3" spans="2:5" ht="18" x14ac:dyDescent="0.3">
      <c r="B3" s="51" t="s">
        <v>100</v>
      </c>
      <c r="C3" s="51"/>
      <c r="D3" s="51"/>
      <c r="E3" s="51"/>
    </row>
    <row r="4" spans="2:5" x14ac:dyDescent="0.3">
      <c r="B4" s="2" t="s">
        <v>1</v>
      </c>
      <c r="C4" s="2" t="s">
        <v>2</v>
      </c>
      <c r="D4" s="26" t="s">
        <v>3</v>
      </c>
      <c r="E4" s="26" t="s">
        <v>4</v>
      </c>
    </row>
    <row r="5" spans="2:5" x14ac:dyDescent="0.3">
      <c r="B5" s="21">
        <v>45323</v>
      </c>
      <c r="C5" s="2" t="s">
        <v>5</v>
      </c>
      <c r="D5" s="28">
        <v>73092.7</v>
      </c>
      <c r="E5" s="24"/>
    </row>
    <row r="6" spans="2:5" x14ac:dyDescent="0.3">
      <c r="B6" s="23"/>
      <c r="C6" s="6" t="s">
        <v>6</v>
      </c>
      <c r="D6" s="25">
        <v>18216</v>
      </c>
      <c r="E6" s="24"/>
    </row>
    <row r="7" spans="2:5" x14ac:dyDescent="0.3">
      <c r="B7" s="23"/>
      <c r="C7" s="6" t="s">
        <v>7</v>
      </c>
      <c r="D7" s="33">
        <f>D5-D6</f>
        <v>54876.7</v>
      </c>
      <c r="E7" s="24"/>
    </row>
    <row r="8" spans="2:5" x14ac:dyDescent="0.3">
      <c r="B8" s="23"/>
      <c r="C8" s="6"/>
      <c r="D8" s="24"/>
      <c r="E8" s="24"/>
    </row>
    <row r="9" spans="2:5" x14ac:dyDescent="0.3">
      <c r="B9" s="23"/>
      <c r="C9" s="2" t="s">
        <v>8</v>
      </c>
      <c r="D9" s="24"/>
      <c r="E9" s="24"/>
    </row>
    <row r="10" spans="2:5" x14ac:dyDescent="0.3">
      <c r="B10" s="21">
        <v>45351</v>
      </c>
      <c r="C10" s="47" t="s">
        <v>9</v>
      </c>
      <c r="D10" s="25">
        <v>75401</v>
      </c>
      <c r="E10" s="24"/>
    </row>
    <row r="11" spans="2:5" x14ac:dyDescent="0.3">
      <c r="B11" s="21">
        <v>45334</v>
      </c>
      <c r="C11" s="47" t="s">
        <v>101</v>
      </c>
      <c r="D11" s="25">
        <v>5000</v>
      </c>
      <c r="E11" s="24"/>
    </row>
    <row r="12" spans="2:5" x14ac:dyDescent="0.3">
      <c r="B12" s="21">
        <v>45346</v>
      </c>
      <c r="C12" s="47" t="s">
        <v>101</v>
      </c>
      <c r="D12" s="25">
        <v>10000</v>
      </c>
      <c r="E12" s="24"/>
    </row>
    <row r="13" spans="2:5" x14ac:dyDescent="0.3">
      <c r="B13" s="21">
        <v>45351</v>
      </c>
      <c r="C13" s="47" t="s">
        <v>102</v>
      </c>
      <c r="D13" s="25">
        <v>5000</v>
      </c>
      <c r="E13" s="24"/>
    </row>
    <row r="14" spans="2:5" x14ac:dyDescent="0.3">
      <c r="B14" s="21">
        <v>45345</v>
      </c>
      <c r="C14" s="47" t="s">
        <v>103</v>
      </c>
      <c r="D14" s="25">
        <v>2000</v>
      </c>
      <c r="E14" s="24"/>
    </row>
    <row r="15" spans="2:5" ht="28.8" x14ac:dyDescent="0.3">
      <c r="B15" s="21">
        <v>45348</v>
      </c>
      <c r="C15" s="47" t="s">
        <v>105</v>
      </c>
      <c r="D15" s="25">
        <v>714890</v>
      </c>
      <c r="E15" s="24"/>
    </row>
    <row r="16" spans="2:5" x14ac:dyDescent="0.3">
      <c r="B16" s="23"/>
      <c r="C16" s="6"/>
      <c r="D16" s="25"/>
      <c r="E16" s="24"/>
    </row>
    <row r="17" spans="2:5" x14ac:dyDescent="0.3">
      <c r="B17" s="23"/>
      <c r="C17" s="2" t="s">
        <v>10</v>
      </c>
      <c r="D17" s="27">
        <f>SUM(D10:D15)</f>
        <v>812291</v>
      </c>
      <c r="E17" s="24"/>
    </row>
    <row r="18" spans="2:5" x14ac:dyDescent="0.3">
      <c r="B18" s="23"/>
      <c r="C18" s="2" t="s">
        <v>11</v>
      </c>
      <c r="D18" s="27">
        <f>D5+D17</f>
        <v>885383.7</v>
      </c>
      <c r="E18" s="24"/>
    </row>
    <row r="19" spans="2:5" x14ac:dyDescent="0.3">
      <c r="B19" s="23"/>
      <c r="C19" s="6"/>
      <c r="D19" s="24"/>
      <c r="E19" s="24"/>
    </row>
    <row r="20" spans="2:5" x14ac:dyDescent="0.3">
      <c r="B20" s="23"/>
      <c r="C20" s="2" t="s">
        <v>12</v>
      </c>
      <c r="D20" s="24"/>
      <c r="E20" s="24"/>
    </row>
    <row r="21" spans="2:5" x14ac:dyDescent="0.3">
      <c r="B21" s="21">
        <v>45339</v>
      </c>
      <c r="C21" s="47" t="s">
        <v>13</v>
      </c>
      <c r="D21" s="24"/>
      <c r="E21" s="22">
        <v>12280</v>
      </c>
    </row>
    <row r="22" spans="2:5" x14ac:dyDescent="0.3">
      <c r="B22" s="21">
        <v>45335</v>
      </c>
      <c r="C22" s="47" t="s">
        <v>30</v>
      </c>
      <c r="D22" s="24"/>
      <c r="E22" s="22">
        <v>7002</v>
      </c>
    </row>
    <row r="23" spans="2:5" x14ac:dyDescent="0.3">
      <c r="B23" s="21">
        <v>45329</v>
      </c>
      <c r="C23" s="47" t="s">
        <v>15</v>
      </c>
      <c r="D23" s="23"/>
      <c r="E23" s="24">
        <v>27500</v>
      </c>
    </row>
    <row r="24" spans="2:5" x14ac:dyDescent="0.3">
      <c r="B24" s="21">
        <v>45328</v>
      </c>
      <c r="C24" s="47" t="s">
        <v>28</v>
      </c>
      <c r="D24" s="24"/>
      <c r="E24" s="22">
        <v>10000</v>
      </c>
    </row>
    <row r="25" spans="2:5" x14ac:dyDescent="0.3">
      <c r="B25" s="21"/>
      <c r="C25" s="6"/>
      <c r="D25" s="24"/>
      <c r="E25" s="22"/>
    </row>
    <row r="26" spans="2:5" x14ac:dyDescent="0.3">
      <c r="B26" s="23"/>
      <c r="C26" s="2" t="s">
        <v>16</v>
      </c>
      <c r="D26" s="24"/>
      <c r="E26" s="27">
        <f>SUM(E21:E24)</f>
        <v>56782</v>
      </c>
    </row>
    <row r="27" spans="2:5" x14ac:dyDescent="0.3">
      <c r="B27" s="21">
        <v>45350</v>
      </c>
      <c r="C27" s="2" t="s">
        <v>17</v>
      </c>
      <c r="D27" s="27">
        <f>D18-E26</f>
        <v>828601.7</v>
      </c>
      <c r="E27" s="24"/>
    </row>
    <row r="28" spans="2:5" x14ac:dyDescent="0.3">
      <c r="B28" s="23"/>
      <c r="C28" s="2"/>
      <c r="D28" s="27"/>
      <c r="E28" s="24"/>
    </row>
    <row r="29" spans="2:5" x14ac:dyDescent="0.3">
      <c r="B29" s="23"/>
      <c r="C29" s="2" t="s">
        <v>18</v>
      </c>
      <c r="D29" s="22"/>
      <c r="E29" s="28"/>
    </row>
    <row r="30" spans="2:5" x14ac:dyDescent="0.3">
      <c r="B30" s="23"/>
      <c r="C30" s="26" t="s">
        <v>104</v>
      </c>
      <c r="D30" s="22"/>
      <c r="E30" s="28">
        <v>-6202</v>
      </c>
    </row>
    <row r="31" spans="2:5" x14ac:dyDescent="0.3">
      <c r="B31" s="21"/>
      <c r="C31" s="16"/>
      <c r="D31" s="22"/>
      <c r="E31" s="25"/>
    </row>
    <row r="32" spans="2:5" x14ac:dyDescent="0.3">
      <c r="B32" s="21">
        <v>45325</v>
      </c>
      <c r="C32" s="47" t="s">
        <v>31</v>
      </c>
      <c r="D32" s="22"/>
      <c r="E32" s="25">
        <v>500</v>
      </c>
    </row>
    <row r="33" spans="2:5" x14ac:dyDescent="0.3">
      <c r="B33" s="21">
        <v>45325</v>
      </c>
      <c r="C33" s="47" t="s">
        <v>33</v>
      </c>
      <c r="D33" s="22"/>
      <c r="E33" s="25">
        <v>1500</v>
      </c>
    </row>
    <row r="34" spans="2:5" ht="28.8" x14ac:dyDescent="0.3">
      <c r="B34" s="21">
        <v>45325</v>
      </c>
      <c r="C34" s="47" t="s">
        <v>37</v>
      </c>
      <c r="D34" s="22"/>
      <c r="E34" s="25">
        <v>4000</v>
      </c>
    </row>
    <row r="35" spans="2:5" ht="28.8" x14ac:dyDescent="0.3">
      <c r="B35" s="21">
        <v>45339</v>
      </c>
      <c r="C35" s="47" t="s">
        <v>116</v>
      </c>
      <c r="D35" s="22"/>
      <c r="E35" s="25">
        <v>199</v>
      </c>
    </row>
    <row r="36" spans="2:5" ht="28.8" x14ac:dyDescent="0.3">
      <c r="B36" s="21">
        <v>45344</v>
      </c>
      <c r="C36" s="47" t="s">
        <v>106</v>
      </c>
      <c r="D36" s="22"/>
      <c r="E36" s="25">
        <v>2000</v>
      </c>
    </row>
    <row r="37" spans="2:5" ht="28.8" x14ac:dyDescent="0.3">
      <c r="B37" s="21">
        <v>45344</v>
      </c>
      <c r="C37" s="47" t="s">
        <v>107</v>
      </c>
      <c r="D37" s="22"/>
      <c r="E37" s="25">
        <v>7000</v>
      </c>
    </row>
    <row r="38" spans="2:5" ht="28.8" x14ac:dyDescent="0.3">
      <c r="B38" s="21">
        <v>45344</v>
      </c>
      <c r="C38" s="47" t="s">
        <v>108</v>
      </c>
      <c r="D38" s="22"/>
      <c r="E38" s="25">
        <v>2300</v>
      </c>
    </row>
    <row r="39" spans="2:5" ht="28.8" x14ac:dyDescent="0.3">
      <c r="B39" s="21">
        <v>45345</v>
      </c>
      <c r="C39" s="47" t="s">
        <v>109</v>
      </c>
      <c r="D39" s="22"/>
      <c r="E39" s="25">
        <v>2000</v>
      </c>
    </row>
    <row r="40" spans="2:5" x14ac:dyDescent="0.3">
      <c r="B40" s="21">
        <v>45345</v>
      </c>
      <c r="C40" s="47" t="s">
        <v>113</v>
      </c>
      <c r="D40" s="22"/>
      <c r="E40" s="25">
        <v>2500</v>
      </c>
    </row>
    <row r="41" spans="2:5" x14ac:dyDescent="0.3">
      <c r="B41" s="21">
        <v>45345</v>
      </c>
      <c r="C41" s="47" t="s">
        <v>114</v>
      </c>
      <c r="D41" s="22"/>
      <c r="E41" s="25">
        <v>2000</v>
      </c>
    </row>
    <row r="42" spans="2:5" x14ac:dyDescent="0.3">
      <c r="B42" s="21">
        <v>45345</v>
      </c>
      <c r="C42" s="6" t="s">
        <v>112</v>
      </c>
      <c r="D42" s="22"/>
      <c r="E42" s="25">
        <v>1500</v>
      </c>
    </row>
    <row r="43" spans="2:5" ht="28.8" x14ac:dyDescent="0.3">
      <c r="B43" s="21">
        <v>45346</v>
      </c>
      <c r="C43" s="47" t="s">
        <v>115</v>
      </c>
      <c r="D43" s="22"/>
      <c r="E43" s="25">
        <v>1473</v>
      </c>
    </row>
    <row r="44" spans="2:5" ht="28.8" x14ac:dyDescent="0.3">
      <c r="B44" s="21">
        <v>45348</v>
      </c>
      <c r="C44" s="6" t="s">
        <v>111</v>
      </c>
      <c r="D44" s="22"/>
      <c r="E44" s="25">
        <v>840</v>
      </c>
    </row>
    <row r="45" spans="2:5" ht="28.8" x14ac:dyDescent="0.3">
      <c r="B45" s="21">
        <v>45350</v>
      </c>
      <c r="C45" s="47" t="s">
        <v>110</v>
      </c>
      <c r="D45" s="22"/>
      <c r="E45" s="25">
        <v>1200</v>
      </c>
    </row>
    <row r="46" spans="2:5" x14ac:dyDescent="0.3">
      <c r="B46" s="21"/>
      <c r="C46" s="6"/>
      <c r="D46" s="22"/>
      <c r="E46" s="25"/>
    </row>
    <row r="47" spans="2:5" x14ac:dyDescent="0.3">
      <c r="B47" s="6"/>
      <c r="C47" s="2" t="s">
        <v>21</v>
      </c>
      <c r="D47" s="22"/>
      <c r="E47" s="28">
        <v>29012</v>
      </c>
    </row>
    <row r="48" spans="2:5" x14ac:dyDescent="0.3">
      <c r="B48" s="6"/>
      <c r="C48" s="2"/>
      <c r="D48" s="22"/>
      <c r="E48" s="28"/>
    </row>
    <row r="49" spans="2:5" x14ac:dyDescent="0.3">
      <c r="B49" s="3"/>
      <c r="C49" s="2" t="s">
        <v>36</v>
      </c>
      <c r="D49" s="36">
        <f>-E47+E30</f>
        <v>-35214</v>
      </c>
      <c r="E49" s="28"/>
    </row>
    <row r="50" spans="2:5" x14ac:dyDescent="0.3">
      <c r="B50" s="6"/>
      <c r="C50" s="6"/>
      <c r="D50" s="22"/>
      <c r="E50" s="22"/>
    </row>
    <row r="51" spans="2:5" x14ac:dyDescent="0.3">
      <c r="B51" s="3">
        <v>45351</v>
      </c>
      <c r="C51" s="2" t="s">
        <v>23</v>
      </c>
      <c r="D51" s="34">
        <f>D27</f>
        <v>828601.7</v>
      </c>
      <c r="E51" s="24"/>
    </row>
    <row r="52" spans="2:5" x14ac:dyDescent="0.3">
      <c r="B52" s="3">
        <v>45351</v>
      </c>
      <c r="C52" s="2" t="s">
        <v>24</v>
      </c>
      <c r="D52" s="28">
        <f>D51</f>
        <v>828601.7</v>
      </c>
      <c r="E52" s="24"/>
    </row>
    <row r="53" spans="2:5" x14ac:dyDescent="0.3">
      <c r="D53" s="18"/>
    </row>
    <row r="54" spans="2:5" x14ac:dyDescent="0.3">
      <c r="C54" s="35"/>
      <c r="D54" s="18"/>
    </row>
    <row r="55" spans="2:5" x14ac:dyDescent="0.3">
      <c r="D55" s="18"/>
    </row>
    <row r="56" spans="2:5" x14ac:dyDescent="0.3">
      <c r="D56" s="18"/>
    </row>
    <row r="57" spans="2:5" x14ac:dyDescent="0.3">
      <c r="D57" s="18"/>
      <c r="E57" s="30" t="s">
        <v>25</v>
      </c>
    </row>
  </sheetData>
  <mergeCells count="2">
    <mergeCell ref="B2:E2"/>
    <mergeCell ref="B3:E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492A-35C9-4159-A35D-EB18AB552B9B}">
  <sheetPr>
    <pageSetUpPr fitToPage="1"/>
  </sheetPr>
  <dimension ref="B2:K61"/>
  <sheetViews>
    <sheetView tabSelected="1" topLeftCell="A45" workbookViewId="0">
      <selection activeCell="E61" sqref="B2:E61"/>
    </sheetView>
  </sheetViews>
  <sheetFormatPr defaultRowHeight="14.4" x14ac:dyDescent="0.3"/>
  <cols>
    <col min="2" max="2" width="10.44140625" customWidth="1"/>
    <col min="3" max="3" width="37.33203125" bestFit="1" customWidth="1"/>
    <col min="4" max="4" width="25.33203125" customWidth="1"/>
    <col min="5" max="5" width="17" bestFit="1" customWidth="1"/>
  </cols>
  <sheetData>
    <row r="2" spans="2:5" ht="25.8" x14ac:dyDescent="0.3">
      <c r="B2" s="50" t="s">
        <v>0</v>
      </c>
      <c r="C2" s="50"/>
      <c r="D2" s="50"/>
      <c r="E2" s="50"/>
    </row>
    <row r="3" spans="2:5" ht="18" x14ac:dyDescent="0.3">
      <c r="B3" s="51" t="s">
        <v>117</v>
      </c>
      <c r="C3" s="51"/>
      <c r="D3" s="51"/>
      <c r="E3" s="51"/>
    </row>
    <row r="4" spans="2:5" x14ac:dyDescent="0.3">
      <c r="B4" s="2" t="s">
        <v>1</v>
      </c>
      <c r="C4" s="2" t="s">
        <v>2</v>
      </c>
      <c r="D4" s="26" t="s">
        <v>3</v>
      </c>
      <c r="E4" s="26" t="s">
        <v>4</v>
      </c>
    </row>
    <row r="5" spans="2:5" x14ac:dyDescent="0.3">
      <c r="B5" s="21">
        <v>45352</v>
      </c>
      <c r="C5" s="2" t="s">
        <v>5</v>
      </c>
      <c r="D5" s="28">
        <v>828601.7</v>
      </c>
      <c r="E5" s="24"/>
    </row>
    <row r="6" spans="2:5" x14ac:dyDescent="0.3">
      <c r="B6" s="23"/>
      <c r="C6" s="6" t="s">
        <v>6</v>
      </c>
      <c r="D6" s="25">
        <v>38216</v>
      </c>
      <c r="E6" s="24"/>
    </row>
    <row r="7" spans="2:5" x14ac:dyDescent="0.3">
      <c r="B7" s="23"/>
      <c r="C7" s="6" t="s">
        <v>7</v>
      </c>
      <c r="D7" s="33">
        <f>D5-D6</f>
        <v>790385.7</v>
      </c>
      <c r="E7" s="24"/>
    </row>
    <row r="8" spans="2:5" x14ac:dyDescent="0.3">
      <c r="B8" s="23"/>
      <c r="C8" s="6"/>
      <c r="D8" s="24"/>
      <c r="E8" s="24"/>
    </row>
    <row r="9" spans="2:5" x14ac:dyDescent="0.3">
      <c r="B9" s="23"/>
      <c r="C9" s="2" t="s">
        <v>8</v>
      </c>
      <c r="D9" s="24"/>
      <c r="E9" s="24"/>
    </row>
    <row r="10" spans="2:5" x14ac:dyDescent="0.3">
      <c r="B10" s="23"/>
      <c r="C10" s="6" t="s">
        <v>9</v>
      </c>
      <c r="D10" s="25">
        <v>65000</v>
      </c>
      <c r="E10" s="24"/>
    </row>
    <row r="11" spans="2:5" x14ac:dyDescent="0.3">
      <c r="B11" s="21"/>
      <c r="C11" s="6" t="s">
        <v>118</v>
      </c>
      <c r="D11" s="25">
        <v>10330</v>
      </c>
      <c r="E11" s="24"/>
    </row>
    <row r="12" spans="2:5" ht="43.2" x14ac:dyDescent="0.3">
      <c r="B12" s="23"/>
      <c r="C12" s="6" t="s">
        <v>145</v>
      </c>
      <c r="D12" s="25">
        <v>2000</v>
      </c>
      <c r="E12" s="24"/>
    </row>
    <row r="13" spans="2:5" x14ac:dyDescent="0.3">
      <c r="B13" s="23"/>
      <c r="C13" s="6" t="s">
        <v>119</v>
      </c>
      <c r="D13" s="25">
        <v>400</v>
      </c>
      <c r="E13" s="24"/>
    </row>
    <row r="14" spans="2:5" ht="28.8" x14ac:dyDescent="0.3">
      <c r="B14" s="23"/>
      <c r="C14" s="6" t="s">
        <v>143</v>
      </c>
      <c r="D14" s="25">
        <v>1203528</v>
      </c>
      <c r="E14" s="24"/>
    </row>
    <row r="15" spans="2:5" x14ac:dyDescent="0.3">
      <c r="B15" s="23"/>
      <c r="C15" s="6"/>
      <c r="D15" s="25"/>
      <c r="E15" s="24"/>
    </row>
    <row r="16" spans="2:5" x14ac:dyDescent="0.3">
      <c r="B16" s="23"/>
      <c r="C16" s="2" t="s">
        <v>10</v>
      </c>
      <c r="D16" s="27">
        <f>SUM(D10:D14)</f>
        <v>1281258</v>
      </c>
      <c r="E16" s="24"/>
    </row>
    <row r="17" spans="2:5" x14ac:dyDescent="0.3">
      <c r="B17" s="23"/>
      <c r="C17" s="2" t="s">
        <v>11</v>
      </c>
      <c r="D17" s="27">
        <f>D5+D16</f>
        <v>2109859.7000000002</v>
      </c>
      <c r="E17" s="24"/>
    </row>
    <row r="18" spans="2:5" x14ac:dyDescent="0.3">
      <c r="B18" s="23"/>
      <c r="C18" s="6"/>
      <c r="D18" s="24"/>
      <c r="E18" s="24"/>
    </row>
    <row r="19" spans="2:5" x14ac:dyDescent="0.3">
      <c r="B19" s="23"/>
      <c r="C19" s="2" t="s">
        <v>12</v>
      </c>
      <c r="D19" s="24"/>
      <c r="E19" s="24"/>
    </row>
    <row r="20" spans="2:5" x14ac:dyDescent="0.3">
      <c r="B20" s="21">
        <v>45359</v>
      </c>
      <c r="C20" s="16" t="s">
        <v>120</v>
      </c>
      <c r="D20" s="24"/>
      <c r="E20" s="24">
        <v>27500</v>
      </c>
    </row>
    <row r="21" spans="2:5" x14ac:dyDescent="0.3">
      <c r="B21" s="21">
        <v>45362</v>
      </c>
      <c r="C21" s="6" t="s">
        <v>121</v>
      </c>
      <c r="D21" s="24"/>
      <c r="E21" s="22">
        <v>10000</v>
      </c>
    </row>
    <row r="22" spans="2:5" ht="28.8" x14ac:dyDescent="0.3">
      <c r="B22" s="21">
        <v>45366</v>
      </c>
      <c r="C22" s="6" t="s">
        <v>122</v>
      </c>
      <c r="D22" s="24"/>
      <c r="E22" s="49">
        <v>150000</v>
      </c>
    </row>
    <row r="23" spans="2:5" ht="72" x14ac:dyDescent="0.3">
      <c r="B23" s="21">
        <v>45367</v>
      </c>
      <c r="C23" s="6" t="s">
        <v>123</v>
      </c>
      <c r="D23" s="23"/>
      <c r="E23" s="24">
        <v>8000</v>
      </c>
    </row>
    <row r="24" spans="2:5" x14ac:dyDescent="0.3">
      <c r="B24" s="21">
        <v>45368</v>
      </c>
      <c r="C24" s="6" t="s">
        <v>124</v>
      </c>
      <c r="D24" s="24"/>
      <c r="E24" s="22">
        <v>11135</v>
      </c>
    </row>
    <row r="25" spans="2:5" ht="43.2" x14ac:dyDescent="0.3">
      <c r="B25" s="21">
        <v>45369</v>
      </c>
      <c r="C25" s="6" t="s">
        <v>125</v>
      </c>
      <c r="D25" s="24"/>
      <c r="E25" s="22">
        <v>70000</v>
      </c>
    </row>
    <row r="26" spans="2:5" ht="28.8" x14ac:dyDescent="0.3">
      <c r="B26" s="21">
        <v>45372</v>
      </c>
      <c r="C26" s="6" t="s">
        <v>126</v>
      </c>
      <c r="D26" s="24"/>
      <c r="E26" s="22">
        <v>25980</v>
      </c>
    </row>
    <row r="27" spans="2:5" x14ac:dyDescent="0.3">
      <c r="B27" s="21">
        <v>45376</v>
      </c>
      <c r="C27" s="6" t="s">
        <v>127</v>
      </c>
      <c r="D27" s="24"/>
      <c r="E27" s="22">
        <v>7860</v>
      </c>
    </row>
    <row r="28" spans="2:5" ht="28.8" x14ac:dyDescent="0.3">
      <c r="B28" s="21">
        <v>45378</v>
      </c>
      <c r="C28" s="6" t="s">
        <v>128</v>
      </c>
      <c r="D28" s="24"/>
      <c r="E28" s="22">
        <v>850000</v>
      </c>
    </row>
    <row r="29" spans="2:5" x14ac:dyDescent="0.3">
      <c r="B29" s="21"/>
      <c r="C29" s="6"/>
      <c r="D29" s="24"/>
      <c r="E29" s="22"/>
    </row>
    <row r="30" spans="2:5" x14ac:dyDescent="0.3">
      <c r="B30" s="23"/>
      <c r="C30" s="2" t="s">
        <v>16</v>
      </c>
      <c r="D30" s="24"/>
      <c r="E30" s="27">
        <f>SUM(E20:E28)</f>
        <v>1160475</v>
      </c>
    </row>
    <row r="31" spans="2:5" x14ac:dyDescent="0.3">
      <c r="B31" s="21">
        <v>45382</v>
      </c>
      <c r="C31" s="2" t="s">
        <v>17</v>
      </c>
      <c r="D31" s="27">
        <f>D17-E30</f>
        <v>949384.70000000019</v>
      </c>
      <c r="E31" s="24"/>
    </row>
    <row r="32" spans="2:5" x14ac:dyDescent="0.3">
      <c r="B32" s="23"/>
      <c r="C32" s="2"/>
      <c r="D32" s="27"/>
      <c r="E32" s="24"/>
    </row>
    <row r="33" spans="2:11" x14ac:dyDescent="0.3">
      <c r="B33" s="23"/>
      <c r="C33" s="2" t="s">
        <v>18</v>
      </c>
      <c r="D33" s="22"/>
      <c r="E33" s="28"/>
    </row>
    <row r="34" spans="2:11" x14ac:dyDescent="0.3">
      <c r="B34" s="23"/>
      <c r="C34" s="2" t="s">
        <v>130</v>
      </c>
      <c r="D34" s="22"/>
      <c r="E34" s="28">
        <v>220000</v>
      </c>
    </row>
    <row r="35" spans="2:11" x14ac:dyDescent="0.3">
      <c r="B35" s="23"/>
      <c r="C35" s="2" t="s">
        <v>129</v>
      </c>
      <c r="D35" s="22"/>
      <c r="E35" s="28">
        <v>-35214</v>
      </c>
    </row>
    <row r="36" spans="2:11" ht="28.8" x14ac:dyDescent="0.3">
      <c r="B36" s="21">
        <v>45352</v>
      </c>
      <c r="C36" s="16" t="s">
        <v>142</v>
      </c>
      <c r="D36" s="22"/>
      <c r="E36" s="25">
        <v>35214</v>
      </c>
      <c r="K36" s="48"/>
    </row>
    <row r="37" spans="2:11" x14ac:dyDescent="0.3">
      <c r="B37" s="21">
        <v>45355</v>
      </c>
      <c r="C37" s="16" t="s">
        <v>131</v>
      </c>
      <c r="D37" s="22"/>
      <c r="E37" s="25">
        <v>1500</v>
      </c>
      <c r="K37" s="48"/>
    </row>
    <row r="38" spans="2:11" x14ac:dyDescent="0.3">
      <c r="B38" s="21">
        <v>45355</v>
      </c>
      <c r="C38" s="6" t="s">
        <v>31</v>
      </c>
      <c r="D38" s="22"/>
      <c r="E38" s="25">
        <v>500</v>
      </c>
    </row>
    <row r="39" spans="2:11" ht="28.8" x14ac:dyDescent="0.3">
      <c r="B39" s="21">
        <v>45365</v>
      </c>
      <c r="C39" s="6" t="s">
        <v>137</v>
      </c>
      <c r="D39" s="22"/>
      <c r="E39" s="25">
        <v>650</v>
      </c>
    </row>
    <row r="40" spans="2:11" x14ac:dyDescent="0.3">
      <c r="B40" s="21">
        <v>45365</v>
      </c>
      <c r="C40" s="6" t="s">
        <v>133</v>
      </c>
      <c r="D40" s="22"/>
      <c r="E40" s="25">
        <v>50000</v>
      </c>
    </row>
    <row r="41" spans="2:11" ht="28.8" x14ac:dyDescent="0.3">
      <c r="B41" s="21">
        <v>45366</v>
      </c>
      <c r="C41" s="6" t="s">
        <v>132</v>
      </c>
      <c r="D41" s="22"/>
      <c r="E41" s="25">
        <v>1100</v>
      </c>
    </row>
    <row r="42" spans="2:11" x14ac:dyDescent="0.3">
      <c r="B42" s="21">
        <v>45366</v>
      </c>
      <c r="C42" s="6" t="s">
        <v>135</v>
      </c>
      <c r="D42" s="22"/>
      <c r="E42" s="25">
        <v>1500</v>
      </c>
    </row>
    <row r="43" spans="2:11" ht="28.8" x14ac:dyDescent="0.3">
      <c r="B43" s="21">
        <v>45366</v>
      </c>
      <c r="C43" s="6" t="s">
        <v>136</v>
      </c>
      <c r="D43" s="22"/>
      <c r="E43" s="25">
        <v>3000</v>
      </c>
    </row>
    <row r="44" spans="2:11" ht="28.8" x14ac:dyDescent="0.3">
      <c r="B44" s="21">
        <v>45367</v>
      </c>
      <c r="C44" s="23" t="s">
        <v>134</v>
      </c>
      <c r="D44" s="22"/>
      <c r="E44" s="25">
        <v>104000</v>
      </c>
    </row>
    <row r="45" spans="2:11" ht="28.8" x14ac:dyDescent="0.3">
      <c r="B45" s="21">
        <v>45369</v>
      </c>
      <c r="C45" s="6" t="s">
        <v>144</v>
      </c>
      <c r="D45" s="22"/>
      <c r="E45" s="25">
        <v>1500</v>
      </c>
    </row>
    <row r="46" spans="2:11" ht="28.8" x14ac:dyDescent="0.3">
      <c r="B46" s="21">
        <v>45370</v>
      </c>
      <c r="C46" s="6" t="s">
        <v>138</v>
      </c>
      <c r="D46" s="22"/>
      <c r="E46" s="25">
        <v>2000</v>
      </c>
    </row>
    <row r="47" spans="2:11" x14ac:dyDescent="0.3">
      <c r="B47" s="21">
        <v>45370</v>
      </c>
      <c r="C47" s="6" t="s">
        <v>139</v>
      </c>
      <c r="D47" s="22"/>
      <c r="E47" s="25">
        <v>580</v>
      </c>
    </row>
    <row r="48" spans="2:11" ht="43.2" x14ac:dyDescent="0.3">
      <c r="B48" s="21">
        <v>45370</v>
      </c>
      <c r="C48" s="6" t="s">
        <v>140</v>
      </c>
      <c r="D48" s="22"/>
      <c r="E48" s="25">
        <v>8950</v>
      </c>
    </row>
    <row r="49" spans="2:5" x14ac:dyDescent="0.3">
      <c r="B49" s="21">
        <v>45370</v>
      </c>
      <c r="C49" s="6" t="s">
        <v>141</v>
      </c>
      <c r="D49" s="22"/>
      <c r="E49" s="25">
        <v>4000</v>
      </c>
    </row>
    <row r="50" spans="2:5" ht="28.8" x14ac:dyDescent="0.3">
      <c r="B50" s="21">
        <v>45382</v>
      </c>
      <c r="C50" s="6" t="s">
        <v>146</v>
      </c>
      <c r="D50" s="22"/>
      <c r="E50" s="25">
        <v>2000</v>
      </c>
    </row>
    <row r="51" spans="2:5" x14ac:dyDescent="0.3">
      <c r="B51" s="6"/>
      <c r="C51" s="2" t="s">
        <v>21</v>
      </c>
      <c r="D51" s="22"/>
      <c r="E51" s="28">
        <f>SUM(E36:E50)</f>
        <v>216494</v>
      </c>
    </row>
    <row r="52" spans="2:5" x14ac:dyDescent="0.3">
      <c r="B52" s="6"/>
      <c r="C52" s="2"/>
      <c r="D52" s="22"/>
      <c r="E52" s="28"/>
    </row>
    <row r="53" spans="2:5" x14ac:dyDescent="0.3">
      <c r="B53" s="3"/>
      <c r="C53" s="2" t="s">
        <v>36</v>
      </c>
      <c r="D53" s="37">
        <f>E34-E51</f>
        <v>3506</v>
      </c>
      <c r="E53" s="28"/>
    </row>
    <row r="54" spans="2:5" x14ac:dyDescent="0.3">
      <c r="B54" s="6"/>
      <c r="C54" s="6"/>
      <c r="D54" s="22"/>
      <c r="E54" s="22"/>
    </row>
    <row r="55" spans="2:5" x14ac:dyDescent="0.3">
      <c r="B55" s="3">
        <v>45382</v>
      </c>
      <c r="C55" s="2" t="s">
        <v>23</v>
      </c>
      <c r="D55" s="34">
        <f>D31</f>
        <v>949384.70000000019</v>
      </c>
      <c r="E55" s="24"/>
    </row>
    <row r="56" spans="2:5" x14ac:dyDescent="0.3">
      <c r="B56" s="3">
        <v>45382</v>
      </c>
      <c r="C56" s="2" t="s">
        <v>24</v>
      </c>
      <c r="D56" s="28">
        <f>D55</f>
        <v>949384.70000000019</v>
      </c>
      <c r="E56" s="24"/>
    </row>
    <row r="57" spans="2:5" x14ac:dyDescent="0.3">
      <c r="D57" s="18"/>
    </row>
    <row r="58" spans="2:5" x14ac:dyDescent="0.3">
      <c r="C58" s="35"/>
      <c r="D58" s="18"/>
    </row>
    <row r="59" spans="2:5" x14ac:dyDescent="0.3">
      <c r="D59" s="18"/>
    </row>
    <row r="60" spans="2:5" x14ac:dyDescent="0.3">
      <c r="D60" s="18"/>
    </row>
    <row r="61" spans="2:5" x14ac:dyDescent="0.3">
      <c r="D61" s="18"/>
      <c r="E61" s="30" t="s">
        <v>25</v>
      </c>
    </row>
  </sheetData>
  <mergeCells count="2">
    <mergeCell ref="B2:E2"/>
    <mergeCell ref="B3:E3"/>
  </mergeCells>
  <pageMargins left="0.7" right="0.7" top="0.75" bottom="0.75" header="0.3" footer="0.3"/>
  <pageSetup paperSize="9" scale="60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April 2023</vt:lpstr>
      <vt:lpstr>May 2023</vt:lpstr>
      <vt:lpstr>June 2023</vt:lpstr>
      <vt:lpstr>July2023</vt:lpstr>
      <vt:lpstr>Aug2023</vt:lpstr>
      <vt:lpstr>Sep2023</vt:lpstr>
      <vt:lpstr>Oct2023</vt:lpstr>
      <vt:lpstr>Nov2023</vt:lpstr>
      <vt:lpstr>Dec2023</vt:lpstr>
      <vt:lpstr>Jan2024</vt:lpstr>
      <vt:lpstr>Feb2024</vt:lpstr>
      <vt:lpstr>Mar2024</vt:lpstr>
      <vt:lpstr>'Mar2024'!Print_Area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SN, Srikanth</cp:lastModifiedBy>
  <cp:lastPrinted>2024-04-11T10:47:40Z</cp:lastPrinted>
  <dcterms:created xsi:type="dcterms:W3CDTF">2022-05-07T06:27:23Z</dcterms:created>
  <dcterms:modified xsi:type="dcterms:W3CDTF">2024-04-11T10:47:45Z</dcterms:modified>
</cp:coreProperties>
</file>