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Jul 2024" sheetId="2" r:id="rId6"/>
    <sheet state="visible" name="Aug 2024" sheetId="3" r:id="rId7"/>
    <sheet state="visible" name="Sept 2024" sheetId="4" r:id="rId8"/>
    <sheet state="visible" name="Oct 2024" sheetId="5" r:id="rId9"/>
    <sheet state="visible" name="Nov 2024" sheetId="6" r:id="rId10"/>
    <sheet state="visible" name="Dec 2024" sheetId="7" r:id="rId11"/>
    <sheet state="visible" name="Jan 2025" sheetId="8" r:id="rId12"/>
    <sheet state="visible" name="Feb 2025" sheetId="9" r:id="rId13"/>
    <sheet state="visible" name="Mar 2025" sheetId="10" r:id="rId14"/>
    <sheet state="visible" name="Apr 2025" sheetId="11" r:id="rId15"/>
    <sheet state="visible" name="May 2025" sheetId="12" r:id="rId16"/>
    <sheet state="visible" name="June 2025" sheetId="13" r:id="rId17"/>
    <sheet state="visible" name="Jul 2025" sheetId="14" r:id="rId18"/>
    <sheet state="visible" name="Aug 2025" sheetId="15" r:id="rId19"/>
    <sheet state="visible" name="Sept 2025" sheetId="16" r:id="rId20"/>
    <sheet state="visible" name="Oct 2025" sheetId="17" r:id="rId21"/>
    <sheet state="visible" name="Nov 2025" sheetId="18" r:id="rId22"/>
    <sheet state="visible" name="Dec 2025" sheetId="19" r:id="rId23"/>
    <sheet state="visible" name="Jan 2026" sheetId="20" r:id="rId24"/>
    <sheet state="visible" name="Feb 2026" sheetId="21" r:id="rId25"/>
    <sheet state="visible" name="Refernce Sheet" sheetId="22" r:id="rId26"/>
  </sheets>
  <definedNames>
    <definedName hidden="1" localSheetId="20" name="_xlnm._FilterDatabase">'Feb 2026'!$A$1:$Z$34</definedName>
    <definedName hidden="1" localSheetId="21" name="_xlnm._FilterDatabase">'Refernce Sheet'!$A$1:$B$48</definedName>
  </definedNames>
  <calcPr/>
</workbook>
</file>

<file path=xl/sharedStrings.xml><?xml version="1.0" encoding="utf-8"?>
<sst xmlns="http://schemas.openxmlformats.org/spreadsheetml/2006/main" count="878" uniqueCount="123">
  <si>
    <t xml:space="preserve">Appartment </t>
  </si>
  <si>
    <t>Date</t>
  </si>
  <si>
    <t>Name</t>
  </si>
  <si>
    <t>Dr</t>
  </si>
  <si>
    <t>Cr</t>
  </si>
  <si>
    <t>Bal as of 31st</t>
  </si>
  <si>
    <t xml:space="preserve">Apartment Number </t>
  </si>
  <si>
    <t>VG3</t>
  </si>
  <si>
    <t>PaniRaj</t>
  </si>
  <si>
    <t>RG1</t>
  </si>
  <si>
    <t>Megana</t>
  </si>
  <si>
    <t>KG4</t>
  </si>
  <si>
    <t>Srikanth Belihalli</t>
  </si>
  <si>
    <t>KG3</t>
  </si>
  <si>
    <t>Usha</t>
  </si>
  <si>
    <t>RS2</t>
  </si>
  <si>
    <t>Neha</t>
  </si>
  <si>
    <t>KF2</t>
  </si>
  <si>
    <t>IMPS 9193..... 11122</t>
  </si>
  <si>
    <t>KS1</t>
  </si>
  <si>
    <t>Ramesh Joshi</t>
  </si>
  <si>
    <t>KG1</t>
  </si>
  <si>
    <t>Raghavendra BH</t>
  </si>
  <si>
    <t>KF3</t>
  </si>
  <si>
    <t>Varun</t>
  </si>
  <si>
    <t>RG2</t>
  </si>
  <si>
    <t>Lakshmi Narayana</t>
  </si>
  <si>
    <t>VF2</t>
  </si>
  <si>
    <t>Ramesh Bembalore</t>
  </si>
  <si>
    <t>KS2</t>
  </si>
  <si>
    <t>Nikhil</t>
  </si>
  <si>
    <t>RS3</t>
  </si>
  <si>
    <t>Kiran M S</t>
  </si>
  <si>
    <t>RF2</t>
  </si>
  <si>
    <t>Sunitha Sudharshan</t>
  </si>
  <si>
    <t>VF1</t>
  </si>
  <si>
    <t>Sujatha</t>
  </si>
  <si>
    <t>VF3</t>
  </si>
  <si>
    <t>Manu</t>
  </si>
  <si>
    <t>KG2</t>
  </si>
  <si>
    <t>Ramesh Mani</t>
  </si>
  <si>
    <t>RG3</t>
  </si>
  <si>
    <t>IMPS - No Number</t>
  </si>
  <si>
    <t>VS2</t>
  </si>
  <si>
    <t>Srikanteshwar J S</t>
  </si>
  <si>
    <t>Mariswamy</t>
  </si>
  <si>
    <t>VS3</t>
  </si>
  <si>
    <t>Sai Prasad</t>
  </si>
  <si>
    <t xml:space="preserve">Karthik KC </t>
  </si>
  <si>
    <t>RF3</t>
  </si>
  <si>
    <t>Rohit Kumar</t>
  </si>
  <si>
    <t>VG1</t>
  </si>
  <si>
    <t>Mukesh Gupta</t>
  </si>
  <si>
    <t>Bangalore One</t>
  </si>
  <si>
    <t>Bescom</t>
  </si>
  <si>
    <t>VG2</t>
  </si>
  <si>
    <t>Swathi</t>
  </si>
  <si>
    <t>KF1</t>
  </si>
  <si>
    <t>Nayak</t>
  </si>
  <si>
    <t>KS3</t>
  </si>
  <si>
    <t>Shyalaja</t>
  </si>
  <si>
    <t>Cash Drawn</t>
  </si>
  <si>
    <t>Pusha Badmi</t>
  </si>
  <si>
    <t>Srekanth S N</t>
  </si>
  <si>
    <t>Bharath Elevators</t>
  </si>
  <si>
    <t>BWSSB</t>
  </si>
  <si>
    <t>Karthik K C</t>
  </si>
  <si>
    <t>Venkataramana</t>
  </si>
  <si>
    <t>Aneesh Venkatesh</t>
  </si>
  <si>
    <t>BESCOM</t>
  </si>
  <si>
    <t>Bharath Elevator</t>
  </si>
  <si>
    <t xml:space="preserve">Self </t>
  </si>
  <si>
    <t>ManiKantan</t>
  </si>
  <si>
    <t>Bank Charges</t>
  </si>
  <si>
    <t>Pruthiv</t>
  </si>
  <si>
    <t>13/2/2025</t>
  </si>
  <si>
    <t>FD Deposit</t>
  </si>
  <si>
    <t>Mistake Amount</t>
  </si>
  <si>
    <t>Reversal of above</t>
  </si>
  <si>
    <t>Prakash H S</t>
  </si>
  <si>
    <t>Prakash</t>
  </si>
  <si>
    <t>RF1</t>
  </si>
  <si>
    <t>Venkatesh Reddy</t>
  </si>
  <si>
    <t>17/05/2025</t>
  </si>
  <si>
    <t>21/05/2025</t>
  </si>
  <si>
    <t>Sohan</t>
  </si>
  <si>
    <t>17/07/2025</t>
  </si>
  <si>
    <t>22/07/2025</t>
  </si>
  <si>
    <t>23/07/2025</t>
  </si>
  <si>
    <t>31/07/2025</t>
  </si>
  <si>
    <t>Raghavendra Rao B H</t>
  </si>
  <si>
    <t xml:space="preserve">Extra </t>
  </si>
  <si>
    <t>Interest</t>
  </si>
  <si>
    <t>17/9/2025</t>
  </si>
  <si>
    <t>20/9/2025</t>
  </si>
  <si>
    <t>K C Pradeep</t>
  </si>
  <si>
    <t>kc pradeep</t>
  </si>
  <si>
    <t>paid by Phaniraj</t>
  </si>
  <si>
    <t>Reject charges</t>
  </si>
  <si>
    <t>Paid by PhaniRaj</t>
  </si>
  <si>
    <t xml:space="preserve">Alpha Generator </t>
  </si>
  <si>
    <t>17/12/2025</t>
  </si>
  <si>
    <t>\</t>
  </si>
  <si>
    <t>Paid by Kiran</t>
  </si>
  <si>
    <t>paid by Kiran</t>
  </si>
  <si>
    <t>FD Amount</t>
  </si>
  <si>
    <t>Bank entry</t>
  </si>
  <si>
    <t>Bank</t>
  </si>
  <si>
    <t>Bank Interest</t>
  </si>
  <si>
    <t>Cash</t>
  </si>
  <si>
    <t>Garden</t>
  </si>
  <si>
    <t>Generator</t>
  </si>
  <si>
    <t>KF4</t>
  </si>
  <si>
    <t>KS4</t>
  </si>
  <si>
    <t>Lift</t>
  </si>
  <si>
    <t>Maintenance</t>
  </si>
  <si>
    <t>No</t>
  </si>
  <si>
    <t>None</t>
  </si>
  <si>
    <t>RS1</t>
  </si>
  <si>
    <t>Security</t>
  </si>
  <si>
    <t>VS1</t>
  </si>
  <si>
    <t>Krishna Murthy</t>
  </si>
  <si>
    <t>Bank FD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</si>
</sst>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-mmm"/>
    <numFmt numFmtId="165" formatCode="_(* #,##0.00_);_(* \(#,##0.00\);_(* &quot;-&quot;??_);_(@_)"/>
    <numFmt numFmtId="166" formatCode="d-mmm-yyyy"/>
    <numFmt numFmtId="167" formatCode="m-d-yyyy"/>
    <numFmt numFmtId="168" formatCode="m/d/yyyy"/>
    <numFmt numFmtId="169" formatCode="mm/d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&quot;Google Sans Mono&quot;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0" fontId="1" numFmtId="0" xfId="0" applyFont="1"/>
    <xf borderId="0" fillId="0" fontId="1" numFmtId="164" xfId="0" applyAlignment="1" applyFont="1" applyNumberFormat="1">
      <alignment readingOrder="0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 t="s">
        <v>0</v>
      </c>
      <c r="B1" s="1" t="s">
        <v>1</v>
      </c>
      <c r="C1" s="1" t="s">
        <v>2</v>
      </c>
      <c r="E1" s="1">
        <v>863592.7</v>
      </c>
    </row>
    <row r="2">
      <c r="A2" s="2" t="str">
        <f>vlookup(C2,'Refernce Sheet'!A:B,2,FALSE)</f>
        <v>#N/A</v>
      </c>
      <c r="C2" s="3"/>
    </row>
    <row r="3">
      <c r="A3" s="2" t="str">
        <f>vlookup(C3,'Refernce Sheet'!A:B,2,FALSE)</f>
        <v>#N/A</v>
      </c>
      <c r="C3" s="3"/>
    </row>
    <row r="4">
      <c r="A4" s="2" t="str">
        <f>vlookup(C4,'Refernce Sheet'!A:B,2,FALSE)</f>
        <v>#N/A</v>
      </c>
      <c r="C4" s="3"/>
    </row>
    <row r="5">
      <c r="A5" s="2" t="str">
        <f>vlookup(C5,'Refernce Sheet'!A:B,2,FALSE)</f>
        <v>#N/A</v>
      </c>
      <c r="C5" s="3"/>
    </row>
    <row r="6">
      <c r="A6" s="2" t="str">
        <f>vlookup(C6,'Refernce Sheet'!A:B,2,FALSE)</f>
        <v>#N/A</v>
      </c>
      <c r="C6" s="3"/>
    </row>
    <row r="7">
      <c r="A7" s="2" t="str">
        <f>vlookup(C7,'Refernce Sheet'!A:B,2,FALSE)</f>
        <v>#N/A</v>
      </c>
      <c r="C7" s="3"/>
    </row>
    <row r="8">
      <c r="A8" s="2" t="str">
        <f>vlookup(C8,'Refernce Sheet'!A:B,2,FALSE)</f>
        <v>#N/A</v>
      </c>
      <c r="C8" s="3"/>
    </row>
    <row r="9">
      <c r="A9" s="2" t="str">
        <f>vlookup(C9,'Refernce Sheet'!A:B,2,FALSE)</f>
        <v>#N/A</v>
      </c>
      <c r="C9" s="3"/>
    </row>
    <row r="10">
      <c r="A10" s="2" t="str">
        <f>vlookup(C10,'Refernce Sheet'!A:B,2,FALSE)</f>
        <v>#N/A</v>
      </c>
      <c r="C10" s="3"/>
    </row>
    <row r="11">
      <c r="A11" s="2" t="str">
        <f>vlookup(C11,'Refernce Sheet'!A:B,2,FALSE)</f>
        <v>#N/A</v>
      </c>
      <c r="C11" s="3"/>
    </row>
    <row r="12">
      <c r="A12" s="2" t="str">
        <f>vlookup(C12,'Refernce Sheet'!A:B,2,FALSE)</f>
        <v>#N/A</v>
      </c>
      <c r="C12" s="3"/>
    </row>
    <row r="13">
      <c r="A13" s="2" t="str">
        <f>vlookup(C13,'Refernce Sheet'!A:B,2,FALSE)</f>
        <v>#N/A</v>
      </c>
      <c r="C13" s="3"/>
    </row>
    <row r="14">
      <c r="A14" s="2" t="str">
        <f>vlookup(C14,'Refernce Sheet'!A:B,2,FALSE)</f>
        <v>#N/A</v>
      </c>
      <c r="C14" s="3"/>
    </row>
    <row r="15">
      <c r="A15" s="2" t="str">
        <f>vlookup(C15,'Refernce Sheet'!A:B,2,FALSE)</f>
        <v>#N/A</v>
      </c>
      <c r="C15" s="3"/>
    </row>
    <row r="16">
      <c r="A16" s="2" t="str">
        <f>vlookup(C16,'Refernce Sheet'!A:B,2,FALSE)</f>
        <v>#N/A</v>
      </c>
      <c r="C16" s="3"/>
    </row>
    <row r="17">
      <c r="A17" s="2" t="str">
        <f>vlookup(C17,'Refernce Sheet'!A:B,2,FALSE)</f>
        <v>#N/A</v>
      </c>
      <c r="C17" s="3"/>
    </row>
    <row r="18">
      <c r="A18" s="2" t="str">
        <f>vlookup(C18,'Refernce Sheet'!A:B,2,FALSE)</f>
        <v>#N/A</v>
      </c>
      <c r="C18" s="3"/>
    </row>
    <row r="19">
      <c r="A19" s="2" t="str">
        <f>vlookup(C19,'Refernce Sheet'!A:B,2,FALSE)</f>
        <v>#N/A</v>
      </c>
      <c r="C19" s="3"/>
    </row>
    <row r="20">
      <c r="A20" s="2" t="str">
        <f>vlookup(C20,'Refernce Sheet'!A:B,2,FALSE)</f>
        <v>#N/A</v>
      </c>
      <c r="C20" s="3"/>
    </row>
    <row r="21">
      <c r="A21" s="2" t="str">
        <f>vlookup(C21,'Refernce Sheet'!A:B,2,FALSE)</f>
        <v>#N/A</v>
      </c>
      <c r="C21" s="3"/>
    </row>
    <row r="22">
      <c r="A22" s="2" t="str">
        <f>vlookup(C22,'Refernce Sheet'!A:B,2,FALSE)</f>
        <v>#N/A</v>
      </c>
      <c r="C22" s="3"/>
    </row>
    <row r="23">
      <c r="A23" s="2" t="str">
        <f>vlookup(C23,'Refernce Sheet'!A:B,2,FALSE)</f>
        <v>#N/A</v>
      </c>
      <c r="C23" s="3"/>
    </row>
    <row r="24">
      <c r="A24" s="2" t="str">
        <f>vlookup(C24,'Refernce Sheet'!A:B,2,FALSE)</f>
        <v>#N/A</v>
      </c>
      <c r="C24" s="3"/>
    </row>
    <row r="25">
      <c r="A25" s="2" t="str">
        <f>vlookup(C25,'Refernce Sheet'!A:B,2,FALSE)</f>
        <v>#N/A</v>
      </c>
      <c r="C25" s="3"/>
    </row>
    <row r="26">
      <c r="A26" s="2" t="str">
        <f>vlookup(C26,'Refernce Sheet'!A:B,2,FALSE)</f>
        <v>#N/A</v>
      </c>
      <c r="C26" s="3"/>
    </row>
    <row r="27">
      <c r="A27" s="2" t="str">
        <f>vlookup(C27,'Refernce Sheet'!A:B,2,FALSE)</f>
        <v>#N/A</v>
      </c>
      <c r="C27" s="3"/>
    </row>
    <row r="28">
      <c r="A28" s="2" t="str">
        <f>vlookup(C28,'Refernce Sheet'!A:B,2,FALSE)</f>
        <v>#N/A</v>
      </c>
      <c r="C28" s="3"/>
    </row>
    <row r="29">
      <c r="A29" s="2" t="str">
        <f>vlookup(C29,'Refernce Sheet'!A:B,2,FALSE)</f>
        <v>#N/A</v>
      </c>
      <c r="C29" s="3"/>
    </row>
    <row r="30">
      <c r="A30" s="2" t="str">
        <f>vlookup(C30,'Refernce Sheet'!A:B,2,FALSE)</f>
        <v>#N/A</v>
      </c>
      <c r="C30" s="3"/>
    </row>
    <row r="31">
      <c r="A31" s="2" t="str">
        <f>vlookup(C31,'Refernce Sheet'!A:B,2,FALSE)</f>
        <v>#N/A</v>
      </c>
      <c r="C31" s="3"/>
    </row>
    <row r="32">
      <c r="A32" s="2" t="str">
        <f>vlookup(C32,'Refernce Sheet'!A:B,2,FALSE)</f>
        <v>#N/A</v>
      </c>
      <c r="C32" s="3"/>
    </row>
    <row r="33">
      <c r="A33" s="2" t="str">
        <f>vlookup(C33,'Refernce Sheet'!A:B,2,FALSE)</f>
        <v>#N/A</v>
      </c>
      <c r="C33" s="3"/>
    </row>
    <row r="34">
      <c r="A34" s="2" t="str">
        <f>vlookup(C34,'Refernce Sheet'!A:B,2,FALSE)</f>
        <v>#N/A</v>
      </c>
      <c r="C34" s="3"/>
    </row>
    <row r="35">
      <c r="D35" s="1" t="s">
        <v>3</v>
      </c>
      <c r="E35" s="1" t="s">
        <v>4</v>
      </c>
    </row>
    <row r="37">
      <c r="F37" s="1" t="s">
        <v>5</v>
      </c>
    </row>
    <row r="38">
      <c r="D38" s="3">
        <f>SUM(D2:D37)</f>
        <v>0</v>
      </c>
      <c r="E38" s="3">
        <f>sum(E2:E37)</f>
        <v>0</v>
      </c>
      <c r="F38" s="3">
        <f>E38-D38</f>
        <v>0</v>
      </c>
    </row>
    <row r="40">
      <c r="E40" s="3">
        <f>E38-E2</f>
        <v>0</v>
      </c>
    </row>
  </sheetData>
  <conditionalFormatting sqref="C31">
    <cfRule type="notContainsBlanks" dxfId="0" priority="1">
      <formula>LEN(TRIM(C31))&gt;0</formula>
    </cfRule>
  </conditionalFormatting>
  <dataValidations>
    <dataValidation type="list" allowBlank="1" showErrorMessage="1" sqref="C2:C34">
      <formula1>'Refernce Sheet'!$A$2:$A$50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31.38"/>
  </cols>
  <sheetData>
    <row r="3">
      <c r="A3" s="1" t="s">
        <v>6</v>
      </c>
      <c r="B3" s="1" t="s">
        <v>1</v>
      </c>
      <c r="C3" s="1" t="s">
        <v>2</v>
      </c>
      <c r="D3" s="1" t="s">
        <v>3</v>
      </c>
      <c r="E3" s="1" t="s">
        <v>4</v>
      </c>
    </row>
    <row r="4">
      <c r="E4" s="1">
        <v>874330.7</v>
      </c>
    </row>
    <row r="5">
      <c r="A5" s="1" t="s">
        <v>7</v>
      </c>
      <c r="C5" s="1" t="s">
        <v>8</v>
      </c>
      <c r="E5" s="1">
        <v>7800.0</v>
      </c>
    </row>
    <row r="6">
      <c r="A6" s="1" t="s">
        <v>9</v>
      </c>
      <c r="C6" s="1" t="s">
        <v>10</v>
      </c>
      <c r="E6" s="1">
        <v>2600.0</v>
      </c>
    </row>
    <row r="7">
      <c r="A7" s="1" t="s">
        <v>11</v>
      </c>
      <c r="C7" s="1" t="s">
        <v>12</v>
      </c>
      <c r="E7" s="1">
        <v>2600.0</v>
      </c>
    </row>
    <row r="8">
      <c r="A8" s="1" t="s">
        <v>13</v>
      </c>
      <c r="C8" s="1" t="s">
        <v>14</v>
      </c>
      <c r="E8" s="1">
        <v>2600.0</v>
      </c>
    </row>
    <row r="9">
      <c r="A9" s="1" t="s">
        <v>15</v>
      </c>
      <c r="C9" s="1" t="s">
        <v>16</v>
      </c>
      <c r="E9" s="1">
        <v>2600.0</v>
      </c>
    </row>
    <row r="10">
      <c r="A10" s="1" t="s">
        <v>17</v>
      </c>
      <c r="C10" s="1" t="s">
        <v>18</v>
      </c>
      <c r="E10" s="1">
        <v>2600.0</v>
      </c>
    </row>
    <row r="11">
      <c r="A11" s="1" t="s">
        <v>19</v>
      </c>
      <c r="C11" s="1" t="s">
        <v>20</v>
      </c>
      <c r="E11" s="1">
        <v>2600.0</v>
      </c>
    </row>
    <row r="12">
      <c r="A12" s="1" t="s">
        <v>21</v>
      </c>
      <c r="C12" s="1" t="s">
        <v>22</v>
      </c>
      <c r="E12" s="1">
        <v>2600.0</v>
      </c>
    </row>
    <row r="13">
      <c r="A13" s="1" t="s">
        <v>23</v>
      </c>
      <c r="C13" s="1" t="s">
        <v>24</v>
      </c>
      <c r="E13" s="1">
        <v>2600.0</v>
      </c>
    </row>
    <row r="14">
      <c r="A14" s="1" t="s">
        <v>25</v>
      </c>
      <c r="C14" s="1" t="s">
        <v>26</v>
      </c>
      <c r="E14" s="1">
        <v>2600.0</v>
      </c>
    </row>
    <row r="15">
      <c r="A15" s="1" t="s">
        <v>27</v>
      </c>
      <c r="C15" s="1" t="s">
        <v>28</v>
      </c>
      <c r="E15" s="1">
        <v>2600.0</v>
      </c>
    </row>
    <row r="16">
      <c r="A16" s="1" t="s">
        <v>29</v>
      </c>
      <c r="C16" s="1" t="s">
        <v>30</v>
      </c>
      <c r="E16" s="1">
        <v>2600.0</v>
      </c>
    </row>
    <row r="17">
      <c r="A17" s="1" t="s">
        <v>31</v>
      </c>
      <c r="C17" s="1" t="s">
        <v>32</v>
      </c>
      <c r="E17" s="1">
        <v>2600.0</v>
      </c>
    </row>
    <row r="18">
      <c r="A18" s="1" t="s">
        <v>33</v>
      </c>
      <c r="C18" s="1" t="s">
        <v>34</v>
      </c>
      <c r="E18" s="1">
        <v>2600.0</v>
      </c>
    </row>
    <row r="19">
      <c r="A19" s="1" t="s">
        <v>35</v>
      </c>
      <c r="C19" s="1" t="s">
        <v>36</v>
      </c>
      <c r="E19" s="1">
        <v>2600.0</v>
      </c>
    </row>
    <row r="20">
      <c r="A20" s="1" t="s">
        <v>37</v>
      </c>
      <c r="C20" s="1" t="s">
        <v>38</v>
      </c>
      <c r="E20" s="1">
        <v>2600.0</v>
      </c>
    </row>
    <row r="21">
      <c r="A21" s="1" t="s">
        <v>39</v>
      </c>
      <c r="C21" s="1" t="s">
        <v>40</v>
      </c>
      <c r="E21" s="1">
        <v>2600.0</v>
      </c>
    </row>
    <row r="22">
      <c r="A22" s="1" t="s">
        <v>41</v>
      </c>
      <c r="C22" s="1" t="s">
        <v>42</v>
      </c>
      <c r="E22" s="1">
        <v>2600.0</v>
      </c>
    </row>
    <row r="23">
      <c r="A23" s="1" t="s">
        <v>43</v>
      </c>
      <c r="C23" s="1" t="s">
        <v>44</v>
      </c>
      <c r="E23" s="1">
        <v>2600.0</v>
      </c>
    </row>
    <row r="24">
      <c r="C24" s="1" t="s">
        <v>45</v>
      </c>
      <c r="D24" s="1">
        <v>11000.0</v>
      </c>
    </row>
    <row r="25">
      <c r="A25" s="1" t="s">
        <v>46</v>
      </c>
      <c r="C25" s="1" t="s">
        <v>47</v>
      </c>
      <c r="E25" s="1">
        <v>2600.0</v>
      </c>
    </row>
    <row r="26">
      <c r="C26" s="1" t="s">
        <v>48</v>
      </c>
      <c r="D26" s="1">
        <v>27500.0</v>
      </c>
    </row>
    <row r="27">
      <c r="A27" s="1" t="s">
        <v>49</v>
      </c>
      <c r="C27" s="1" t="s">
        <v>50</v>
      </c>
      <c r="E27" s="1">
        <v>2600.0</v>
      </c>
    </row>
    <row r="28">
      <c r="A28" s="1" t="s">
        <v>51</v>
      </c>
      <c r="C28" s="1" t="s">
        <v>52</v>
      </c>
      <c r="E28" s="1">
        <v>5200.0</v>
      </c>
    </row>
    <row r="29">
      <c r="C29" s="1" t="s">
        <v>53</v>
      </c>
      <c r="D29" s="1">
        <v>7178.0</v>
      </c>
    </row>
    <row r="30">
      <c r="C30" s="1" t="s">
        <v>54</v>
      </c>
      <c r="D30" s="1">
        <v>1882.0</v>
      </c>
    </row>
    <row r="31">
      <c r="C31" s="1" t="s">
        <v>54</v>
      </c>
      <c r="D31" s="1">
        <v>1992.0</v>
      </c>
    </row>
    <row r="32">
      <c r="C32" s="1" t="s">
        <v>54</v>
      </c>
      <c r="D32" s="1">
        <v>5168.0</v>
      </c>
    </row>
    <row r="33">
      <c r="A33" s="1" t="s">
        <v>55</v>
      </c>
      <c r="C33" s="1" t="s">
        <v>56</v>
      </c>
      <c r="E33" s="1">
        <v>7800.0</v>
      </c>
    </row>
    <row r="34">
      <c r="A34" s="1" t="s">
        <v>57</v>
      </c>
      <c r="C34" s="1" t="s">
        <v>58</v>
      </c>
      <c r="E34" s="1">
        <v>2600.0</v>
      </c>
    </row>
    <row r="35">
      <c r="A35" s="1" t="s">
        <v>59</v>
      </c>
      <c r="C35" s="1" t="s">
        <v>60</v>
      </c>
      <c r="E35" s="1">
        <v>5200.0</v>
      </c>
    </row>
    <row r="38">
      <c r="D38" s="3">
        <f t="shared" ref="D38:E38" si="1">sum(D4:D37)</f>
        <v>54720</v>
      </c>
      <c r="E38" s="3">
        <f t="shared" si="1"/>
        <v>954930.7</v>
      </c>
      <c r="F38" s="3">
        <f>E38-D38</f>
        <v>900210.7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</cols>
  <sheetData>
    <row r="1">
      <c r="D1" s="1" t="s">
        <v>3</v>
      </c>
      <c r="E1" s="1" t="s">
        <v>4</v>
      </c>
    </row>
    <row r="2">
      <c r="A2" s="1" t="s">
        <v>0</v>
      </c>
      <c r="B2" s="1" t="s">
        <v>1</v>
      </c>
      <c r="C2" s="1" t="s">
        <v>2</v>
      </c>
      <c r="E2" s="3">
        <f>'Jul 2024'!F38</f>
        <v>900210.7</v>
      </c>
    </row>
    <row r="3">
      <c r="A3" s="3" t="str">
        <f>vlookup(C3,'Refernce Sheet'!A:B,2,FALSE)</f>
        <v>KG3</v>
      </c>
      <c r="C3" s="1" t="s">
        <v>14</v>
      </c>
      <c r="E3" s="1">
        <v>2600.0</v>
      </c>
    </row>
    <row r="4">
      <c r="A4" s="3" t="str">
        <f>vlookup(C4,'Refernce Sheet'!A:B,2,FALSE)</f>
        <v>KG4</v>
      </c>
      <c r="C4" s="1" t="s">
        <v>12</v>
      </c>
      <c r="E4" s="1">
        <v>2600.0</v>
      </c>
    </row>
    <row r="5">
      <c r="A5" s="3" t="str">
        <f>vlookup(C5,'Refernce Sheet'!A:B,2,FALSE)</f>
        <v>RS2</v>
      </c>
      <c r="C5" s="1" t="s">
        <v>16</v>
      </c>
      <c r="E5" s="1">
        <v>2600.0</v>
      </c>
    </row>
    <row r="6">
      <c r="A6" s="3" t="str">
        <f>vlookup(C6,'Refernce Sheet'!A:B,2,FALSE)</f>
        <v>#N/A</v>
      </c>
      <c r="C6" s="1" t="s">
        <v>22</v>
      </c>
      <c r="E6" s="1">
        <v>2600.0</v>
      </c>
    </row>
    <row r="7">
      <c r="A7" s="3" t="str">
        <f>vlookup(C7,'Refernce Sheet'!A:B,2,FALSE)</f>
        <v>KF2</v>
      </c>
      <c r="C7" s="1" t="s">
        <v>18</v>
      </c>
      <c r="E7" s="1">
        <v>2600.0</v>
      </c>
    </row>
    <row r="8">
      <c r="A8" s="3" t="str">
        <f>vlookup(C8,'Refernce Sheet'!A:B,2,FALSE)</f>
        <v>RG2</v>
      </c>
      <c r="C8" s="1" t="s">
        <v>26</v>
      </c>
      <c r="E8" s="1">
        <v>2600.0</v>
      </c>
    </row>
    <row r="9">
      <c r="A9" s="3" t="str">
        <f>vlookup(C9,'Refernce Sheet'!A:B,2,FALSE)</f>
        <v>#N/A</v>
      </c>
      <c r="C9" s="1" t="s">
        <v>61</v>
      </c>
      <c r="D9" s="1">
        <v>15000.0</v>
      </c>
    </row>
    <row r="10">
      <c r="A10" s="3" t="str">
        <f>vlookup(C10,'Refernce Sheet'!A:B,2,FALSE)</f>
        <v>KF3</v>
      </c>
      <c r="C10" s="1" t="s">
        <v>24</v>
      </c>
      <c r="E10" s="1">
        <v>2600.0</v>
      </c>
    </row>
    <row r="11">
      <c r="A11" s="3" t="str">
        <f>vlookup(C11,'Refernce Sheet'!A:B,2,FALSE)</f>
        <v>VF2</v>
      </c>
      <c r="C11" s="1" t="s">
        <v>28</v>
      </c>
      <c r="E11" s="1">
        <v>2600.0</v>
      </c>
    </row>
    <row r="12">
      <c r="A12" s="3" t="str">
        <f>vlookup(C12,'Refernce Sheet'!A:B,2,FALSE)</f>
        <v>KS1</v>
      </c>
      <c r="C12" s="1" t="s">
        <v>20</v>
      </c>
      <c r="E12" s="1">
        <v>2600.0</v>
      </c>
    </row>
    <row r="13">
      <c r="A13" s="3" t="str">
        <f>vlookup(C13,'Refernce Sheet'!A:B,2,FALSE)</f>
        <v>RG1</v>
      </c>
      <c r="C13" s="1" t="s">
        <v>10</v>
      </c>
      <c r="E13" s="1">
        <v>2600.0</v>
      </c>
    </row>
    <row r="14">
      <c r="A14" s="3" t="str">
        <f>vlookup(C14,'Refernce Sheet'!A:B,2,FALSE)</f>
        <v>VF1</v>
      </c>
      <c r="C14" s="1" t="s">
        <v>62</v>
      </c>
      <c r="E14" s="1">
        <v>2600.0</v>
      </c>
    </row>
    <row r="15">
      <c r="A15" s="3" t="str">
        <f>vlookup(C15,'Refernce Sheet'!A:B,2,FALSE)</f>
        <v>KS2</v>
      </c>
      <c r="C15" s="1" t="s">
        <v>30</v>
      </c>
      <c r="E15" s="1">
        <v>2600.0</v>
      </c>
    </row>
    <row r="16">
      <c r="A16" s="3" t="str">
        <f>vlookup(C16,'Refernce Sheet'!A:B,2,FALSE)</f>
        <v>RF2</v>
      </c>
      <c r="C16" s="1" t="s">
        <v>34</v>
      </c>
      <c r="E16" s="1">
        <v>2600.0</v>
      </c>
    </row>
    <row r="17">
      <c r="A17" s="3" t="str">
        <f>vlookup(C17,'Refernce Sheet'!A:B,2,FALSE)</f>
        <v>VG1</v>
      </c>
      <c r="C17" s="1" t="s">
        <v>52</v>
      </c>
      <c r="E17" s="1">
        <v>2600.0</v>
      </c>
    </row>
    <row r="18">
      <c r="A18" s="3" t="str">
        <f>vlookup(C18,'Refernce Sheet'!A:B,2,FALSE)</f>
        <v>RS3</v>
      </c>
      <c r="C18" s="1" t="s">
        <v>32</v>
      </c>
      <c r="E18" s="1">
        <v>2600.0</v>
      </c>
    </row>
    <row r="19">
      <c r="A19" s="3" t="str">
        <f>vlookup(C19,'Refernce Sheet'!A:B,2,FALSE)</f>
        <v>KS4</v>
      </c>
      <c r="C19" s="1" t="s">
        <v>63</v>
      </c>
      <c r="E19" s="1">
        <v>7800.0</v>
      </c>
    </row>
    <row r="20">
      <c r="A20" s="3" t="str">
        <f>vlookup(C20,'Refernce Sheet'!A:B,2,FALSE)</f>
        <v>Maintenance</v>
      </c>
      <c r="C20" s="1" t="s">
        <v>45</v>
      </c>
      <c r="D20" s="1">
        <v>11000.0</v>
      </c>
    </row>
    <row r="21">
      <c r="A21" s="3" t="str">
        <f>vlookup(C21,'Refernce Sheet'!A:B,2,FALSE)</f>
        <v>VS2</v>
      </c>
      <c r="C21" s="1" t="s">
        <v>44</v>
      </c>
      <c r="E21" s="1">
        <v>2600.0</v>
      </c>
    </row>
    <row r="22">
      <c r="A22" s="3" t="str">
        <f>vlookup(C22,'Refernce Sheet'!A:B,2,FALSE)</f>
        <v>RG3</v>
      </c>
      <c r="C22" s="1" t="s">
        <v>42</v>
      </c>
      <c r="E22" s="1">
        <v>2600.0</v>
      </c>
    </row>
    <row r="23">
      <c r="A23" s="3" t="str">
        <f>vlookup(C23,'Refernce Sheet'!A:B,2,FALSE)</f>
        <v>VF3</v>
      </c>
      <c r="C23" s="1" t="s">
        <v>38</v>
      </c>
      <c r="E23" s="1">
        <v>2600.0</v>
      </c>
    </row>
    <row r="24">
      <c r="A24" s="3" t="str">
        <f>vlookup(C24,'Refernce Sheet'!A:B,2,FALSE)</f>
        <v>#N/A</v>
      </c>
      <c r="C24" s="1" t="s">
        <v>48</v>
      </c>
      <c r="D24" s="1">
        <v>27500.0</v>
      </c>
    </row>
    <row r="25">
      <c r="A25" s="3" t="str">
        <f>vlookup(C25,'Refernce Sheet'!A:B,2,FALSE)</f>
        <v>VS3</v>
      </c>
      <c r="C25" s="1" t="s">
        <v>47</v>
      </c>
      <c r="E25" s="1">
        <v>2600.0</v>
      </c>
    </row>
    <row r="26">
      <c r="A26" s="3" t="str">
        <f>vlookup(C26,'Refernce Sheet'!A:B,2,FALSE)</f>
        <v>RF3</v>
      </c>
      <c r="C26" s="1" t="s">
        <v>50</v>
      </c>
      <c r="E26" s="1">
        <v>2600.0</v>
      </c>
    </row>
    <row r="27">
      <c r="A27" s="3" t="str">
        <f>vlookup(C27,'Refernce Sheet'!A:B,2,FALSE)</f>
        <v>#N/A</v>
      </c>
      <c r="C27" s="1" t="s">
        <v>64</v>
      </c>
      <c r="D27" s="1">
        <v>8024.0</v>
      </c>
    </row>
    <row r="28">
      <c r="A28" s="3" t="str">
        <f>vlookup(C28,'Refernce Sheet'!A:B,2,FALSE)</f>
        <v>BESCOM</v>
      </c>
      <c r="C28" s="1" t="s">
        <v>54</v>
      </c>
      <c r="D28" s="1">
        <f>6200+2128+2281</f>
        <v>10609</v>
      </c>
    </row>
    <row r="29">
      <c r="A29" s="3" t="str">
        <f>vlookup(C29,'Refernce Sheet'!A:B,2,FALSE)</f>
        <v>KG2</v>
      </c>
      <c r="C29" s="1" t="s">
        <v>40</v>
      </c>
      <c r="E29" s="1">
        <v>2600.0</v>
      </c>
    </row>
    <row r="30">
      <c r="A30" s="3" t="str">
        <f>vlookup(C30,'Refernce Sheet'!A:B,2,FALSE)</f>
        <v>#N/A</v>
      </c>
      <c r="C30" s="1" t="s">
        <v>65</v>
      </c>
      <c r="D30" s="1">
        <v>7486.0</v>
      </c>
    </row>
    <row r="31">
      <c r="A31" s="3" t="str">
        <f>vlookup(C31,'Refernce Sheet'!A:B,2,FALSE)</f>
        <v>KF1</v>
      </c>
      <c r="C31" s="1" t="s">
        <v>58</v>
      </c>
      <c r="E31" s="1">
        <v>2600.0</v>
      </c>
    </row>
    <row r="33">
      <c r="D33" s="3">
        <f>sum(D2:D32)</f>
        <v>79619</v>
      </c>
      <c r="E33" s="3">
        <f>sum(E2:E31)</f>
        <v>965210.7</v>
      </c>
      <c r="F33" s="3">
        <f>E33-D33</f>
        <v>885591.7</v>
      </c>
    </row>
  </sheetData>
  <dataValidations>
    <dataValidation type="list" allowBlank="1" showErrorMessage="1" sqref="C3:C8 C10:C13 C15:C18 C20:C26 C28:C29 C31">
      <formula1>'Jul 2024'!$C$5:$C$35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D1" s="1" t="s">
        <v>3</v>
      </c>
      <c r="E1" s="1" t="s">
        <v>4</v>
      </c>
    </row>
    <row r="2">
      <c r="A2" s="1" t="s">
        <v>0</v>
      </c>
      <c r="B2" s="1" t="s">
        <v>1</v>
      </c>
      <c r="C2" s="1" t="s">
        <v>2</v>
      </c>
      <c r="E2" s="3">
        <f>'Aug 2024'!F33</f>
        <v>885591.7</v>
      </c>
    </row>
    <row r="3">
      <c r="A3" s="3" t="str">
        <f>vlookup(C3,'Refernce Sheet'!A:B,2,FALSE)</f>
        <v>VG1</v>
      </c>
      <c r="C3" s="1" t="s">
        <v>52</v>
      </c>
      <c r="E3" s="1">
        <v>2600.0</v>
      </c>
    </row>
    <row r="4">
      <c r="A4" s="3" t="str">
        <f>vlookup(C4,'Refernce Sheet'!A:B,2,FALSE)</f>
        <v>KG3</v>
      </c>
      <c r="C4" s="1" t="s">
        <v>14</v>
      </c>
      <c r="E4" s="1">
        <v>2600.0</v>
      </c>
    </row>
    <row r="5">
      <c r="A5" s="3" t="str">
        <f>vlookup(C5,'Refernce Sheet'!A:B,2,FALSE)</f>
        <v>VS2</v>
      </c>
      <c r="C5" s="1" t="s">
        <v>44</v>
      </c>
      <c r="E5" s="1">
        <v>2600.0</v>
      </c>
    </row>
    <row r="6">
      <c r="A6" s="3" t="str">
        <f>vlookup(C6,'Refernce Sheet'!A:B,2,FALSE)</f>
        <v>KF2</v>
      </c>
      <c r="C6" s="1" t="s">
        <v>18</v>
      </c>
      <c r="E6" s="1">
        <v>2600.0</v>
      </c>
    </row>
    <row r="7">
      <c r="A7" s="3" t="str">
        <f>vlookup(C7,'Refernce Sheet'!A:B,2,FALSE)</f>
        <v>KF3</v>
      </c>
      <c r="C7" s="1" t="s">
        <v>24</v>
      </c>
      <c r="E7" s="1">
        <v>2600.0</v>
      </c>
    </row>
    <row r="8">
      <c r="A8" s="3" t="str">
        <f>vlookup(C8,'Refernce Sheet'!A:B,2,FALSE)</f>
        <v>#N/A</v>
      </c>
      <c r="C8" s="1" t="s">
        <v>22</v>
      </c>
      <c r="E8" s="1">
        <v>2600.0</v>
      </c>
    </row>
    <row r="9">
      <c r="A9" s="3" t="str">
        <f>vlookup(C9,'Refernce Sheet'!A:B,2,FALSE)</f>
        <v>RG1</v>
      </c>
      <c r="C9" s="1" t="s">
        <v>10</v>
      </c>
      <c r="E9" s="1">
        <v>2600.0</v>
      </c>
    </row>
    <row r="10">
      <c r="A10" s="3" t="str">
        <f>vlookup(C10,'Refernce Sheet'!A:B,2,FALSE)</f>
        <v>KS1</v>
      </c>
      <c r="C10" s="1" t="s">
        <v>20</v>
      </c>
      <c r="E10" s="1">
        <v>2600.0</v>
      </c>
    </row>
    <row r="11">
      <c r="A11" s="3" t="str">
        <f>vlookup(C11,'Refernce Sheet'!A:B,2,FALSE)</f>
        <v>RG2</v>
      </c>
      <c r="C11" s="1" t="s">
        <v>26</v>
      </c>
      <c r="E11" s="1">
        <v>2600.0</v>
      </c>
    </row>
    <row r="12">
      <c r="A12" s="3" t="str">
        <f>vlookup(C12,'Refernce Sheet'!A:B,2,FALSE)</f>
        <v>KG4</v>
      </c>
      <c r="C12" s="1" t="s">
        <v>12</v>
      </c>
      <c r="E12" s="1">
        <v>2600.0</v>
      </c>
    </row>
    <row r="13">
      <c r="A13" s="3" t="str">
        <f>vlookup(C13,'Refernce Sheet'!A:B,2,FALSE)</f>
        <v>VF1</v>
      </c>
      <c r="C13" s="1" t="s">
        <v>62</v>
      </c>
      <c r="E13" s="1">
        <v>2600.0</v>
      </c>
    </row>
    <row r="14">
      <c r="A14" s="3" t="str">
        <f>vlookup(C14,'Refernce Sheet'!A:B,2,FALSE)</f>
        <v>VF2</v>
      </c>
      <c r="C14" s="1" t="s">
        <v>28</v>
      </c>
      <c r="E14" s="1">
        <v>2600.0</v>
      </c>
    </row>
    <row r="15">
      <c r="A15" s="3" t="str">
        <f>vlookup(C15,'Refernce Sheet'!A:B,2,FALSE)</f>
        <v>Maintenance</v>
      </c>
      <c r="C15" s="1" t="s">
        <v>45</v>
      </c>
      <c r="D15" s="1">
        <v>11000.0</v>
      </c>
    </row>
    <row r="16">
      <c r="A16" s="3" t="str">
        <f>vlookup(C16,'Refernce Sheet'!A:B,2,FALSE)</f>
        <v>RS3</v>
      </c>
      <c r="C16" s="1" t="s">
        <v>32</v>
      </c>
      <c r="E16" s="1">
        <v>2600.0</v>
      </c>
    </row>
    <row r="17">
      <c r="A17" s="3" t="str">
        <f>vlookup(C17,'Refernce Sheet'!A:B,2,FALSE)</f>
        <v>Security</v>
      </c>
      <c r="C17" s="1" t="s">
        <v>66</v>
      </c>
      <c r="D17" s="1">
        <v>27500.0</v>
      </c>
    </row>
    <row r="18">
      <c r="A18" s="3" t="str">
        <f>vlookup(C18,'Refernce Sheet'!A:B,2,FALSE)</f>
        <v>RF2</v>
      </c>
      <c r="C18" s="1" t="s">
        <v>34</v>
      </c>
      <c r="E18" s="1">
        <v>2600.0</v>
      </c>
    </row>
    <row r="19">
      <c r="A19" s="3" t="str">
        <f>vlookup(C19,'Refernce Sheet'!A:B,2,FALSE)</f>
        <v>KS2</v>
      </c>
      <c r="C19" s="1" t="s">
        <v>67</v>
      </c>
      <c r="E19" s="1">
        <v>2600.0</v>
      </c>
    </row>
    <row r="20">
      <c r="A20" s="3" t="str">
        <f>vlookup(C20,'Refernce Sheet'!A:B,2,FALSE)</f>
        <v>RG3</v>
      </c>
      <c r="C20" s="1" t="s">
        <v>42</v>
      </c>
      <c r="E20" s="1">
        <v>2600.0</v>
      </c>
    </row>
    <row r="21">
      <c r="A21" s="3" t="str">
        <f>vlookup(C21,'Refernce Sheet'!A:B,2,FALSE)</f>
        <v>VF3</v>
      </c>
      <c r="C21" s="1" t="s">
        <v>38</v>
      </c>
      <c r="E21" s="1">
        <v>2600.0</v>
      </c>
    </row>
    <row r="22">
      <c r="A22" s="3" t="str">
        <f>vlookup(C22,'Refernce Sheet'!A:B,2,FALSE)</f>
        <v>RF3</v>
      </c>
      <c r="C22" s="1" t="s">
        <v>50</v>
      </c>
      <c r="E22" s="1">
        <v>2600.0</v>
      </c>
    </row>
    <row r="23">
      <c r="A23" s="3" t="str">
        <f>vlookup(C23,'Refernce Sheet'!A:B,2,FALSE)</f>
        <v>VS3</v>
      </c>
      <c r="C23" s="1" t="s">
        <v>47</v>
      </c>
      <c r="E23" s="1">
        <v>2600.0</v>
      </c>
    </row>
    <row r="24">
      <c r="A24" s="3" t="str">
        <f>vlookup(C24,'Refernce Sheet'!A:B,2,FALSE)</f>
        <v>KF4</v>
      </c>
      <c r="C24" s="1" t="s">
        <v>68</v>
      </c>
      <c r="E24" s="1">
        <v>15600.0</v>
      </c>
      <c r="G24" s="3">
        <f>E24/2600</f>
        <v>6</v>
      </c>
    </row>
    <row r="25">
      <c r="A25" s="3" t="str">
        <f>vlookup(C25,'Refernce Sheet'!A:B,2,FALSE)</f>
        <v>KG2</v>
      </c>
      <c r="C25" s="1" t="s">
        <v>40</v>
      </c>
      <c r="E25" s="1">
        <v>2600.0</v>
      </c>
    </row>
    <row r="26">
      <c r="A26" s="3" t="str">
        <f>vlookup(C26,'Refernce Sheet'!A:B,2,FALSE)</f>
        <v>BESCOM</v>
      </c>
      <c r="C26" s="1" t="s">
        <v>69</v>
      </c>
      <c r="D26" s="1">
        <v>2289.0</v>
      </c>
    </row>
    <row r="27">
      <c r="A27" s="3" t="str">
        <f>vlookup(C27,'Refernce Sheet'!A:B,2,FALSE)</f>
        <v>BESCOM</v>
      </c>
      <c r="C27" s="1" t="s">
        <v>69</v>
      </c>
      <c r="D27" s="1">
        <v>2202.0</v>
      </c>
    </row>
    <row r="28">
      <c r="A28" s="3" t="str">
        <f>vlookup(C28,'Refernce Sheet'!A:B,2,FALSE)</f>
        <v>BESCOM</v>
      </c>
      <c r="C28" s="1" t="s">
        <v>69</v>
      </c>
      <c r="D28" s="1">
        <v>5837.0</v>
      </c>
    </row>
    <row r="29">
      <c r="A29" s="3" t="str">
        <f>vlookup(C29,'Refernce Sheet'!A:B,2,FALSE)</f>
        <v>Lift</v>
      </c>
      <c r="C29" s="1" t="s">
        <v>70</v>
      </c>
      <c r="D29" s="1">
        <v>15000.0</v>
      </c>
    </row>
    <row r="30">
      <c r="A30" s="3" t="str">
        <f>vlookup(C30,'Refernce Sheet'!A:B,2,FALSE)</f>
        <v>KS3</v>
      </c>
      <c r="C30" s="1" t="s">
        <v>60</v>
      </c>
      <c r="E30" s="1">
        <v>5200.0</v>
      </c>
    </row>
    <row r="31">
      <c r="A31" s="3" t="str">
        <f>vlookup(C31,'Refernce Sheet'!A:B,2,FALSE)</f>
        <v>BWSSB</v>
      </c>
      <c r="C31" s="1" t="s">
        <v>53</v>
      </c>
      <c r="D31" s="1">
        <v>7457.0</v>
      </c>
    </row>
    <row r="32">
      <c r="F32" s="1" t="s">
        <v>5</v>
      </c>
    </row>
    <row r="33">
      <c r="D33" s="3">
        <f t="shared" ref="D33:E33" si="1">SUM(D2:D31)</f>
        <v>71285</v>
      </c>
      <c r="E33" s="3">
        <f t="shared" si="1"/>
        <v>958391.7</v>
      </c>
      <c r="F33" s="3">
        <f>E33-D33</f>
        <v>887106.7</v>
      </c>
    </row>
  </sheetData>
  <dataValidations>
    <dataValidation type="list" allowBlank="1" showErrorMessage="1" sqref="C3:C31">
      <formula1>'Refernce Sheet'!$A$2:$A$40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D1" s="1" t="s">
        <v>3</v>
      </c>
      <c r="E1" s="1" t="s">
        <v>4</v>
      </c>
    </row>
    <row r="2">
      <c r="A2" s="1" t="s">
        <v>0</v>
      </c>
      <c r="B2" s="1" t="s">
        <v>1</v>
      </c>
      <c r="C2" s="1" t="s">
        <v>2</v>
      </c>
      <c r="E2" s="1">
        <v>887106.7</v>
      </c>
    </row>
    <row r="3">
      <c r="A3" s="3" t="str">
        <f>vlookup(C3,'Refernce Sheet'!A:B,2,FALSE)</f>
        <v>BESCOM</v>
      </c>
      <c r="C3" s="1" t="s">
        <v>69</v>
      </c>
      <c r="D3" s="1">
        <v>2144.0</v>
      </c>
    </row>
    <row r="4">
      <c r="A4" s="3" t="str">
        <f>vlookup(C4,'Refernce Sheet'!A:B,2,FALSE)</f>
        <v>BESCOM</v>
      </c>
      <c r="C4" s="1" t="s">
        <v>69</v>
      </c>
      <c r="D4" s="1">
        <v>5359.0</v>
      </c>
    </row>
    <row r="5">
      <c r="A5" s="3" t="str">
        <f>vlookup(C5,'Refernce Sheet'!A:B,2,FALSE)</f>
        <v>BESCOM</v>
      </c>
      <c r="C5" s="1" t="s">
        <v>69</v>
      </c>
      <c r="D5" s="1">
        <v>2132.0</v>
      </c>
    </row>
    <row r="6">
      <c r="A6" s="3" t="str">
        <f>vlookup(C6,'Refernce Sheet'!A:B,2,FALSE)</f>
        <v>Cash</v>
      </c>
      <c r="C6" s="1" t="s">
        <v>71</v>
      </c>
      <c r="D6" s="1">
        <v>15000.0</v>
      </c>
    </row>
    <row r="7">
      <c r="A7" s="2" t="str">
        <f>vlookup(C7,'Refernce Sheet'!A:B,2,FALSE)</f>
        <v>Generator</v>
      </c>
      <c r="C7" s="1" t="s">
        <v>72</v>
      </c>
      <c r="D7" s="1">
        <v>9649.0</v>
      </c>
    </row>
    <row r="8">
      <c r="A8" s="3" t="str">
        <f>vlookup(C8,'Refernce Sheet'!A:B,2,FALSE)</f>
        <v>KF1</v>
      </c>
      <c r="C8" s="1" t="s">
        <v>58</v>
      </c>
      <c r="E8" s="1">
        <v>2600.0</v>
      </c>
    </row>
    <row r="9">
      <c r="A9" s="3" t="str">
        <f>vlookup(C9,'Refernce Sheet'!A:B,2,FALSE)</f>
        <v>KF2</v>
      </c>
      <c r="C9" s="1" t="s">
        <v>18</v>
      </c>
      <c r="E9" s="1">
        <v>2600.0</v>
      </c>
    </row>
    <row r="10">
      <c r="A10" s="3" t="str">
        <f>vlookup(C10,'Refernce Sheet'!A:B,2,FALSE)</f>
        <v>KF3</v>
      </c>
      <c r="C10" s="1" t="s">
        <v>24</v>
      </c>
      <c r="E10" s="1">
        <v>2600.0</v>
      </c>
    </row>
    <row r="11">
      <c r="A11" s="3" t="str">
        <f>vlookup(C11,'Refernce Sheet'!A:B,2,FALSE)</f>
        <v>#N/A</v>
      </c>
      <c r="C11" s="1" t="s">
        <v>22</v>
      </c>
      <c r="E11" s="1">
        <v>2600.0</v>
      </c>
    </row>
    <row r="12">
      <c r="A12" s="3" t="str">
        <f>vlookup(C12,'Refernce Sheet'!A:B,2,FALSE)</f>
        <v>KG2</v>
      </c>
      <c r="C12" s="1" t="s">
        <v>40</v>
      </c>
      <c r="E12" s="1">
        <v>2600.0</v>
      </c>
    </row>
    <row r="13">
      <c r="A13" s="3" t="str">
        <f>vlookup(C13,'Refernce Sheet'!A:B,2,FALSE)</f>
        <v>KG3</v>
      </c>
      <c r="C13" s="1" t="s">
        <v>14</v>
      </c>
      <c r="E13" s="1">
        <v>2600.0</v>
      </c>
    </row>
    <row r="14">
      <c r="A14" s="2" t="str">
        <f>vlookup(C14,'Refernce Sheet'!A:B,2,FALSE)</f>
        <v>KG3</v>
      </c>
      <c r="C14" s="1" t="s">
        <v>14</v>
      </c>
      <c r="E14" s="1">
        <v>2600.0</v>
      </c>
    </row>
    <row r="15">
      <c r="A15" s="3" t="str">
        <f>vlookup(C15,'Refernce Sheet'!A:B,2,FALSE)</f>
        <v>KG4</v>
      </c>
      <c r="C15" s="1" t="s">
        <v>12</v>
      </c>
      <c r="E15" s="1">
        <v>2600.0</v>
      </c>
    </row>
    <row r="16">
      <c r="A16" s="3" t="str">
        <f>vlookup(C16,'Refernce Sheet'!A:B,2,FALSE)</f>
        <v>KS1</v>
      </c>
      <c r="C16" s="1" t="s">
        <v>20</v>
      </c>
      <c r="E16" s="1">
        <v>2600.0</v>
      </c>
    </row>
    <row r="17">
      <c r="A17" s="3" t="str">
        <f>vlookup(C17,'Refernce Sheet'!A:B,2,FALSE)</f>
        <v>KS2</v>
      </c>
      <c r="C17" s="1" t="s">
        <v>67</v>
      </c>
      <c r="E17" s="1">
        <v>2600.0</v>
      </c>
    </row>
    <row r="18">
      <c r="A18" s="2" t="str">
        <f>vlookup(C18,'Refernce Sheet'!A:B,2,FALSE)</f>
        <v>Lift</v>
      </c>
      <c r="C18" s="1" t="s">
        <v>70</v>
      </c>
      <c r="D18" s="1">
        <v>15680.0</v>
      </c>
    </row>
    <row r="19">
      <c r="A19" s="3" t="str">
        <f>vlookup(C19,'Refernce Sheet'!A:B,2,FALSE)</f>
        <v>Maintenance</v>
      </c>
      <c r="C19" s="1" t="s">
        <v>45</v>
      </c>
      <c r="D19" s="1">
        <v>11000.0</v>
      </c>
    </row>
    <row r="20">
      <c r="A20" s="3" t="str">
        <f>vlookup(C20,'Refernce Sheet'!A:B,2,FALSE)</f>
        <v>BWSSB</v>
      </c>
      <c r="C20" s="1" t="s">
        <v>53</v>
      </c>
      <c r="D20" s="1">
        <v>7850.0</v>
      </c>
    </row>
    <row r="21">
      <c r="A21" s="3" t="str">
        <f>vlookup(C21,'Refernce Sheet'!A:B,2,FALSE)</f>
        <v>RF2</v>
      </c>
      <c r="C21" s="1" t="s">
        <v>34</v>
      </c>
      <c r="E21" s="1">
        <v>2600.0</v>
      </c>
    </row>
    <row r="22">
      <c r="A22" s="3" t="str">
        <f>vlookup(C22,'Refernce Sheet'!A:B,2,FALSE)</f>
        <v>RF3</v>
      </c>
      <c r="C22" s="1" t="s">
        <v>50</v>
      </c>
      <c r="E22" s="1">
        <v>2600.0</v>
      </c>
    </row>
    <row r="23">
      <c r="A23" s="3" t="str">
        <f>vlookup(C23,'Refernce Sheet'!A:B,2,FALSE)</f>
        <v>RG2</v>
      </c>
      <c r="C23" s="1" t="s">
        <v>26</v>
      </c>
      <c r="E23" s="1">
        <v>2600.0</v>
      </c>
    </row>
    <row r="24">
      <c r="A24" s="3" t="str">
        <f>vlookup(C24,'Refernce Sheet'!A:B,2,FALSE)</f>
        <v>RG3</v>
      </c>
      <c r="C24" s="1" t="s">
        <v>42</v>
      </c>
      <c r="E24" s="1">
        <v>2600.0</v>
      </c>
    </row>
    <row r="25">
      <c r="A25" s="3" t="str">
        <f>vlookup(C25,'Refernce Sheet'!A:B,2,FALSE)</f>
        <v>RS2</v>
      </c>
      <c r="C25" s="1" t="s">
        <v>16</v>
      </c>
      <c r="E25" s="1">
        <v>2600.0</v>
      </c>
    </row>
    <row r="26">
      <c r="A26" s="3" t="str">
        <f>vlookup(C26,'Refernce Sheet'!A:B,2,FALSE)</f>
        <v>RS3</v>
      </c>
      <c r="C26" s="1" t="s">
        <v>32</v>
      </c>
      <c r="E26" s="1">
        <v>2600.0</v>
      </c>
    </row>
    <row r="27">
      <c r="A27" s="3" t="str">
        <f>vlookup(C27,'Refernce Sheet'!A:B,2,FALSE)</f>
        <v>Security</v>
      </c>
      <c r="C27" s="1" t="s">
        <v>66</v>
      </c>
      <c r="D27" s="1">
        <v>27500.0</v>
      </c>
    </row>
    <row r="28">
      <c r="A28" s="3" t="str">
        <f>vlookup(C28,'Refernce Sheet'!A:B,2,FALSE)</f>
        <v>VF1</v>
      </c>
      <c r="C28" s="1" t="s">
        <v>62</v>
      </c>
      <c r="E28" s="1">
        <v>2600.0</v>
      </c>
    </row>
    <row r="29">
      <c r="A29" s="3" t="str">
        <f>vlookup(C29,'Refernce Sheet'!A:B,2,FALSE)</f>
        <v>VF2</v>
      </c>
      <c r="C29" s="1" t="s">
        <v>28</v>
      </c>
      <c r="E29" s="1">
        <v>2600.0</v>
      </c>
    </row>
    <row r="30">
      <c r="A30" s="3" t="str">
        <f>vlookup(C30,'Refernce Sheet'!A:B,2,FALSE)</f>
        <v>VF3</v>
      </c>
      <c r="C30" s="1" t="s">
        <v>38</v>
      </c>
      <c r="E30" s="1">
        <v>2600.0</v>
      </c>
    </row>
    <row r="31">
      <c r="A31" s="3" t="str">
        <f>vlookup(C31,'Refernce Sheet'!A:B,2,FALSE)</f>
        <v>VG1</v>
      </c>
      <c r="C31" s="1" t="s">
        <v>52</v>
      </c>
      <c r="E31" s="1">
        <v>2600.0</v>
      </c>
    </row>
    <row r="32">
      <c r="A32" s="3" t="str">
        <f>vlookup(C32,'Refernce Sheet'!A:B,2,FALSE)</f>
        <v>VG2</v>
      </c>
      <c r="C32" s="1" t="s">
        <v>56</v>
      </c>
      <c r="E32" s="1">
        <v>7800.0</v>
      </c>
    </row>
    <row r="33">
      <c r="A33" s="3" t="str">
        <f>vlookup(C33,'Refernce Sheet'!A:B,2,FALSE)</f>
        <v>VG3</v>
      </c>
      <c r="C33" s="1" t="s">
        <v>8</v>
      </c>
      <c r="E33" s="1">
        <v>7800.0</v>
      </c>
    </row>
    <row r="34">
      <c r="A34" s="2" t="str">
        <f>vlookup(C34,'Refernce Sheet'!A:B,2,FALSE)</f>
        <v>VS2</v>
      </c>
      <c r="C34" s="1" t="s">
        <v>44</v>
      </c>
      <c r="E34" s="1">
        <v>2600.0</v>
      </c>
    </row>
    <row r="35">
      <c r="A35" s="3" t="str">
        <f>vlookup(C35,'Refernce Sheet'!A:B,2,FALSE)</f>
        <v>VS3</v>
      </c>
      <c r="C35" s="1" t="s">
        <v>47</v>
      </c>
      <c r="E35" s="1">
        <v>2600.0</v>
      </c>
    </row>
    <row r="37">
      <c r="F37" s="1" t="s">
        <v>5</v>
      </c>
    </row>
    <row r="38">
      <c r="D38" s="3">
        <f t="shared" ref="D38:E38" si="1">SUM(D2:D37)</f>
        <v>96314</v>
      </c>
      <c r="E38" s="3">
        <f t="shared" si="1"/>
        <v>959906.7</v>
      </c>
      <c r="F38" s="3">
        <f>E38-D38</f>
        <v>863592.7</v>
      </c>
    </row>
  </sheetData>
  <dataValidations>
    <dataValidation type="list" allowBlank="1" showErrorMessage="1" sqref="C3:C35">
      <formula1>'Refernce Sheet'!$A$2:$A$40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D1" s="1" t="s">
        <v>3</v>
      </c>
      <c r="E1" s="1" t="s">
        <v>4</v>
      </c>
    </row>
    <row r="2">
      <c r="A2" s="1" t="s">
        <v>0</v>
      </c>
      <c r="B2" s="1" t="s">
        <v>1</v>
      </c>
      <c r="C2" s="1" t="s">
        <v>2</v>
      </c>
      <c r="E2" s="1">
        <v>863592.7</v>
      </c>
    </row>
    <row r="3">
      <c r="A3" s="2" t="str">
        <f>vlookup(C3,'Refernce Sheet'!A:B,2,FALSE)</f>
        <v>Bank</v>
      </c>
      <c r="C3" s="1" t="s">
        <v>73</v>
      </c>
      <c r="D3" s="1">
        <v>118.0</v>
      </c>
    </row>
    <row r="4">
      <c r="A4" s="2" t="str">
        <f>vlookup(C4,'Refernce Sheet'!A:B,2,FALSE)</f>
        <v>BESCOM</v>
      </c>
      <c r="C4" s="1" t="s">
        <v>69</v>
      </c>
      <c r="D4" s="1">
        <v>5596.0</v>
      </c>
    </row>
    <row r="5">
      <c r="A5" s="2" t="str">
        <f>vlookup(C5,'Refernce Sheet'!A:B,2,FALSE)</f>
        <v>BESCOM</v>
      </c>
      <c r="C5" s="1" t="s">
        <v>69</v>
      </c>
      <c r="D5" s="1">
        <v>2160.0</v>
      </c>
    </row>
    <row r="6">
      <c r="A6" s="2" t="str">
        <f>vlookup(C6,'Refernce Sheet'!A:B,2,FALSE)</f>
        <v>BESCOM</v>
      </c>
      <c r="C6" s="1" t="s">
        <v>69</v>
      </c>
      <c r="D6" s="1">
        <v>2209.0</v>
      </c>
    </row>
    <row r="7">
      <c r="A7" s="2" t="str">
        <f>vlookup(C7,'Refernce Sheet'!A:B,2,FALSE)</f>
        <v>Cash</v>
      </c>
      <c r="C7" s="1" t="s">
        <v>71</v>
      </c>
      <c r="D7" s="1">
        <v>20000.0</v>
      </c>
    </row>
    <row r="8">
      <c r="A8" s="2" t="str">
        <f>vlookup(C8,'Refernce Sheet'!A:B,2,FALSE)</f>
        <v>KF1</v>
      </c>
      <c r="C8" s="1" t="s">
        <v>58</v>
      </c>
      <c r="E8" s="1">
        <v>5200.0</v>
      </c>
    </row>
    <row r="9">
      <c r="A9" s="2" t="str">
        <f>vlookup(C9,'Refernce Sheet'!A:B,2,FALSE)</f>
        <v>KF2</v>
      </c>
      <c r="C9" s="1" t="s">
        <v>18</v>
      </c>
      <c r="E9" s="1">
        <v>2600.0</v>
      </c>
    </row>
    <row r="10">
      <c r="A10" s="2" t="str">
        <f>vlookup(C10,'Refernce Sheet'!A:B,2,FALSE)</f>
        <v>KF3</v>
      </c>
      <c r="C10" s="1" t="s">
        <v>24</v>
      </c>
      <c r="E10" s="1">
        <v>2600.0</v>
      </c>
    </row>
    <row r="11">
      <c r="A11" s="2" t="str">
        <f>vlookup(C11,'Refernce Sheet'!A:B,2,FALSE)</f>
        <v>#N/A</v>
      </c>
      <c r="C11" s="1" t="s">
        <v>22</v>
      </c>
      <c r="E11" s="1">
        <v>2600.0</v>
      </c>
    </row>
    <row r="12">
      <c r="A12" s="2" t="str">
        <f>vlookup(C12,'Refernce Sheet'!A:B,2,FALSE)</f>
        <v>KG2</v>
      </c>
      <c r="C12" s="1" t="s">
        <v>40</v>
      </c>
      <c r="E12" s="1">
        <v>2600.0</v>
      </c>
    </row>
    <row r="13">
      <c r="A13" s="2" t="str">
        <f>vlookup(C13,'Refernce Sheet'!A:B,2,FALSE)</f>
        <v>KG3</v>
      </c>
      <c r="C13" s="1" t="s">
        <v>14</v>
      </c>
      <c r="E13" s="1">
        <v>2600.0</v>
      </c>
    </row>
    <row r="14">
      <c r="A14" s="2" t="str">
        <f>vlookup(C14,'Refernce Sheet'!A:B,2,FALSE)</f>
        <v>KG4</v>
      </c>
      <c r="C14" s="1" t="s">
        <v>12</v>
      </c>
      <c r="E14" s="1">
        <v>2600.0</v>
      </c>
    </row>
    <row r="15">
      <c r="A15" s="2" t="str">
        <f>vlookup(C15,'Refernce Sheet'!A:B,2,FALSE)</f>
        <v>KS1</v>
      </c>
      <c r="C15" s="1" t="s">
        <v>20</v>
      </c>
      <c r="E15" s="1">
        <v>2600.0</v>
      </c>
    </row>
    <row r="16">
      <c r="A16" s="2" t="str">
        <f>vlookup(C16,'Refernce Sheet'!A:B,2,FALSE)</f>
        <v>KS2</v>
      </c>
      <c r="C16" s="1" t="s">
        <v>67</v>
      </c>
      <c r="E16" s="1">
        <v>2600.0</v>
      </c>
    </row>
    <row r="17">
      <c r="A17" s="2" t="str">
        <f>vlookup(C17,'Refernce Sheet'!A:B,2,FALSE)</f>
        <v>KS3</v>
      </c>
      <c r="C17" s="1" t="s">
        <v>60</v>
      </c>
      <c r="E17" s="1">
        <v>5200.0</v>
      </c>
    </row>
    <row r="18">
      <c r="A18" s="2" t="str">
        <f>vlookup(C18,'Refernce Sheet'!A:B,2,FALSE)</f>
        <v>KS4</v>
      </c>
      <c r="C18" s="1" t="s">
        <v>63</v>
      </c>
      <c r="E18" s="1">
        <v>7800.0</v>
      </c>
    </row>
    <row r="19">
      <c r="A19" s="2" t="str">
        <f>vlookup(C19,'Refernce Sheet'!A:B,2,FALSE)</f>
        <v>Lift</v>
      </c>
      <c r="C19" s="1" t="s">
        <v>70</v>
      </c>
      <c r="D19" s="1">
        <v>22199.0</v>
      </c>
    </row>
    <row r="20">
      <c r="A20" s="2" t="str">
        <f>vlookup(C20,'Refernce Sheet'!A:B,2,FALSE)</f>
        <v>Maintenance</v>
      </c>
      <c r="C20" s="1" t="s">
        <v>45</v>
      </c>
      <c r="D20" s="1">
        <v>11000.0</v>
      </c>
    </row>
    <row r="21">
      <c r="A21" s="2" t="str">
        <f>vlookup(C21,'Refernce Sheet'!A:B,2,FALSE)</f>
        <v>BWSSB</v>
      </c>
      <c r="C21" s="1" t="s">
        <v>53</v>
      </c>
      <c r="D21" s="1">
        <v>7530.0</v>
      </c>
    </row>
    <row r="22">
      <c r="A22" s="2" t="str">
        <f>vlookup(C22,'Refernce Sheet'!A:B,2,FALSE)</f>
        <v>RF2</v>
      </c>
      <c r="C22" s="1" t="s">
        <v>34</v>
      </c>
      <c r="E22" s="1">
        <v>2600.0</v>
      </c>
    </row>
    <row r="23">
      <c r="A23" s="2" t="str">
        <f>vlookup(C23,'Refernce Sheet'!A:B,2,FALSE)</f>
        <v>RF3</v>
      </c>
      <c r="C23" s="1" t="s">
        <v>50</v>
      </c>
      <c r="E23" s="1">
        <v>2600.0</v>
      </c>
    </row>
    <row r="24">
      <c r="A24" s="2" t="str">
        <f>vlookup(C24,'Refernce Sheet'!A:B,2,FALSE)</f>
        <v>RG1</v>
      </c>
      <c r="C24" s="1" t="s">
        <v>10</v>
      </c>
      <c r="E24" s="1">
        <v>2600.0</v>
      </c>
    </row>
    <row r="25">
      <c r="A25" s="2" t="str">
        <f>vlookup(C25,'Refernce Sheet'!A:B,2,FALSE)</f>
        <v>RG2</v>
      </c>
      <c r="C25" s="1" t="s">
        <v>26</v>
      </c>
      <c r="E25" s="1">
        <v>2600.0</v>
      </c>
    </row>
    <row r="26">
      <c r="A26" s="2" t="str">
        <f>vlookup(C26,'Refernce Sheet'!A:B,2,FALSE)</f>
        <v>RG3</v>
      </c>
      <c r="C26" s="1" t="s">
        <v>42</v>
      </c>
      <c r="E26" s="1">
        <v>2600.0</v>
      </c>
    </row>
    <row r="27">
      <c r="A27" s="2" t="str">
        <f>vlookup(C27,'Refernce Sheet'!A:B,2,FALSE)</f>
        <v>RS2</v>
      </c>
      <c r="C27" s="1" t="s">
        <v>16</v>
      </c>
      <c r="E27" s="1">
        <v>2600.0</v>
      </c>
    </row>
    <row r="28">
      <c r="A28" s="2" t="str">
        <f>vlookup(C28,'Refernce Sheet'!A:B,2,FALSE)</f>
        <v>RS3</v>
      </c>
      <c r="C28" s="1" t="s">
        <v>32</v>
      </c>
      <c r="E28" s="1">
        <v>2600.0</v>
      </c>
    </row>
    <row r="29">
      <c r="A29" s="2" t="str">
        <f>vlookup(C29,'Refernce Sheet'!A:B,2,FALSE)</f>
        <v>Security</v>
      </c>
      <c r="C29" s="1" t="s">
        <v>66</v>
      </c>
      <c r="D29" s="1">
        <v>27500.0</v>
      </c>
    </row>
    <row r="30">
      <c r="A30" s="2" t="str">
        <f>vlookup(C30,'Refernce Sheet'!A:B,2,FALSE)</f>
        <v>VF1</v>
      </c>
      <c r="C30" s="1" t="s">
        <v>62</v>
      </c>
      <c r="E30" s="1">
        <v>2600.0</v>
      </c>
    </row>
    <row r="31">
      <c r="A31" s="2" t="str">
        <f>vlookup(C31,'Refernce Sheet'!A:B,2,FALSE)</f>
        <v>VF2</v>
      </c>
      <c r="C31" s="1" t="s">
        <v>28</v>
      </c>
      <c r="E31" s="1">
        <v>2600.0</v>
      </c>
    </row>
    <row r="32">
      <c r="A32" s="2" t="str">
        <f>vlookup(C32,'Refernce Sheet'!A:B,2,FALSE)</f>
        <v>VF3</v>
      </c>
      <c r="C32" s="1" t="s">
        <v>38</v>
      </c>
      <c r="E32" s="1">
        <v>2600.0</v>
      </c>
    </row>
    <row r="33">
      <c r="A33" s="2" t="str">
        <f>vlookup(C33,'Refernce Sheet'!A:B,2,FALSE)</f>
        <v>VG1</v>
      </c>
      <c r="C33" s="1" t="s">
        <v>52</v>
      </c>
      <c r="E33" s="1">
        <v>2600.0</v>
      </c>
    </row>
    <row r="34">
      <c r="A34" s="2" t="str">
        <f>vlookup(C34,'Refernce Sheet'!A:B,2,FALSE)</f>
        <v>VS2</v>
      </c>
      <c r="C34" s="1" t="s">
        <v>44</v>
      </c>
      <c r="E34" s="1">
        <v>2600.0</v>
      </c>
    </row>
    <row r="35">
      <c r="A35" s="2" t="str">
        <f>vlookup(C35,'Refernce Sheet'!A:B,2,FALSE)</f>
        <v>VS3</v>
      </c>
      <c r="C35" s="1" t="s">
        <v>47</v>
      </c>
      <c r="E35" s="1">
        <v>2600.0</v>
      </c>
    </row>
    <row r="38">
      <c r="F38" s="1" t="s">
        <v>5</v>
      </c>
    </row>
    <row r="39">
      <c r="D39" s="3">
        <f>SUM(D3:D38)</f>
        <v>98312</v>
      </c>
      <c r="E39" s="3">
        <f>sum(E3:E38)</f>
        <v>72800</v>
      </c>
      <c r="F39" s="3">
        <f>E39-D39</f>
        <v>-25512</v>
      </c>
    </row>
    <row r="41">
      <c r="E41" s="3">
        <f>E2+F39</f>
        <v>838080.7</v>
      </c>
    </row>
  </sheetData>
  <conditionalFormatting sqref="C32">
    <cfRule type="notContainsBlanks" dxfId="0" priority="1">
      <formula>LEN(TRIM(C32))&gt;0</formula>
    </cfRule>
  </conditionalFormatting>
  <dataValidations>
    <dataValidation type="list" allowBlank="1" showErrorMessage="1" sqref="C3:C35">
      <formula1>'Refernce Sheet'!$A$2:$A$42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/>
      <c r="B1" s="1"/>
      <c r="C1" s="1"/>
      <c r="D1" s="1" t="s">
        <v>3</v>
      </c>
      <c r="E1" s="1" t="s">
        <v>4</v>
      </c>
    </row>
    <row r="2">
      <c r="A2" s="1" t="s">
        <v>0</v>
      </c>
      <c r="B2" s="1" t="s">
        <v>1</v>
      </c>
      <c r="C2" s="1" t="s">
        <v>2</v>
      </c>
      <c r="E2" s="1">
        <v>838080.7</v>
      </c>
    </row>
    <row r="3">
      <c r="A3" s="2" t="str">
        <f>vlookup(C3,'Refernce Sheet'!A:B,2,FALSE)</f>
        <v>RS2</v>
      </c>
      <c r="C3" s="1" t="s">
        <v>16</v>
      </c>
      <c r="E3" s="1">
        <v>2600.0</v>
      </c>
    </row>
    <row r="4">
      <c r="A4" s="2" t="str">
        <f>vlookup(C4,'Refernce Sheet'!A:B,2,FALSE)</f>
        <v>KG4</v>
      </c>
      <c r="C4" s="1" t="s">
        <v>12</v>
      </c>
      <c r="E4" s="1">
        <v>2600.0</v>
      </c>
    </row>
    <row r="5">
      <c r="A5" s="2" t="str">
        <f>vlookup(C5,'Refernce Sheet'!A:B,2,FALSE)</f>
        <v>RG1</v>
      </c>
      <c r="C5" s="1" t="s">
        <v>10</v>
      </c>
      <c r="E5" s="1">
        <v>2600.0</v>
      </c>
    </row>
    <row r="6">
      <c r="A6" s="2" t="str">
        <f>vlookup(C6,'Refernce Sheet'!A:B,2,FALSE)</f>
        <v>VF1</v>
      </c>
      <c r="C6" s="1" t="s">
        <v>36</v>
      </c>
      <c r="E6" s="1">
        <v>2600.0</v>
      </c>
    </row>
    <row r="7">
      <c r="A7" s="2" t="str">
        <f>vlookup(C7,'Refernce Sheet'!A:B,2,FALSE)</f>
        <v>KF2</v>
      </c>
      <c r="C7" s="1" t="s">
        <v>18</v>
      </c>
      <c r="E7" s="1">
        <v>2600.0</v>
      </c>
    </row>
    <row r="8">
      <c r="A8" s="2" t="str">
        <f>vlookup(C8,'Refernce Sheet'!A:B,2,FALSE)</f>
        <v>KS1</v>
      </c>
      <c r="C8" s="1" t="s">
        <v>20</v>
      </c>
      <c r="E8" s="1">
        <v>2600.0</v>
      </c>
    </row>
    <row r="9">
      <c r="A9" s="2" t="str">
        <f>vlookup(C9,'Refernce Sheet'!A:B,2,FALSE)</f>
        <v>#N/A</v>
      </c>
      <c r="C9" s="1" t="s">
        <v>22</v>
      </c>
      <c r="E9" s="1">
        <v>2600.0</v>
      </c>
    </row>
    <row r="10">
      <c r="A10" s="2" t="str">
        <f>vlookup(C10,'Refernce Sheet'!A:B,2,FALSE)</f>
        <v>RG2</v>
      </c>
      <c r="C10" s="1" t="s">
        <v>26</v>
      </c>
      <c r="E10" s="1">
        <v>2600.0</v>
      </c>
    </row>
    <row r="11">
      <c r="A11" s="2" t="str">
        <f>vlookup(C11,'Refernce Sheet'!A:B,2,FALSE)</f>
        <v>VF2</v>
      </c>
      <c r="C11" s="1" t="s">
        <v>28</v>
      </c>
      <c r="E11" s="1">
        <v>2600.0</v>
      </c>
    </row>
    <row r="12">
      <c r="A12" s="2" t="str">
        <f>vlookup(C12,'Refernce Sheet'!A:B,2,FALSE)</f>
        <v>KF3</v>
      </c>
      <c r="C12" s="1" t="s">
        <v>24</v>
      </c>
      <c r="E12" s="1">
        <v>2600.0</v>
      </c>
    </row>
    <row r="13">
      <c r="A13" s="2" t="str">
        <f>vlookup(C13,'Refernce Sheet'!A:B,2,FALSE)</f>
        <v>KS2</v>
      </c>
      <c r="C13" s="1" t="s">
        <v>67</v>
      </c>
      <c r="E13" s="1">
        <v>2600.0</v>
      </c>
    </row>
    <row r="14">
      <c r="A14" s="2" t="str">
        <f>vlookup(C14,'Refernce Sheet'!A:B,2,FALSE)</f>
        <v>RS3</v>
      </c>
      <c r="C14" s="1" t="s">
        <v>32</v>
      </c>
      <c r="E14" s="1">
        <v>2600.0</v>
      </c>
    </row>
    <row r="15">
      <c r="A15" s="2" t="str">
        <f>vlookup(C15,'Refernce Sheet'!A:B,2,FALSE)</f>
        <v>Security</v>
      </c>
      <c r="C15" s="1" t="s">
        <v>66</v>
      </c>
      <c r="D15" s="1">
        <v>27500.0</v>
      </c>
    </row>
    <row r="16">
      <c r="A16" s="2" t="str">
        <f>vlookup(C16,'Refernce Sheet'!A:B,2,FALSE)</f>
        <v>VF3</v>
      </c>
      <c r="C16" s="1" t="s">
        <v>38</v>
      </c>
      <c r="E16" s="1">
        <v>2600.0</v>
      </c>
    </row>
    <row r="17">
      <c r="A17" s="2" t="str">
        <f>vlookup(C17,'Refernce Sheet'!A:B,2,FALSE)</f>
        <v>VG1</v>
      </c>
      <c r="C17" s="1" t="s">
        <v>52</v>
      </c>
      <c r="E17" s="1">
        <v>2600.0</v>
      </c>
    </row>
    <row r="18">
      <c r="A18" s="2" t="str">
        <f>vlookup(C18,'Refernce Sheet'!A:B,2,FALSE)</f>
        <v>RG3</v>
      </c>
      <c r="C18" s="1" t="s">
        <v>42</v>
      </c>
      <c r="E18" s="1">
        <v>2600.0</v>
      </c>
    </row>
    <row r="19">
      <c r="A19" s="2" t="str">
        <f>vlookup(C19,'Refernce Sheet'!A:B,2,FALSE)</f>
        <v>Maintenance</v>
      </c>
      <c r="C19" s="1" t="s">
        <v>45</v>
      </c>
      <c r="D19" s="1">
        <v>11000.0</v>
      </c>
    </row>
    <row r="20">
      <c r="A20" s="2" t="str">
        <f>vlookup(C20,'Refernce Sheet'!A:B,2,FALSE)</f>
        <v>VS3</v>
      </c>
      <c r="C20" s="1" t="s">
        <v>47</v>
      </c>
      <c r="E20" s="1">
        <v>2600.0</v>
      </c>
    </row>
    <row r="21">
      <c r="A21" s="2" t="str">
        <f>vlookup(C21,'Refernce Sheet'!A:B,2,FALSE)</f>
        <v>VS2</v>
      </c>
      <c r="C21" s="1" t="s">
        <v>44</v>
      </c>
      <c r="E21" s="1">
        <v>2600.0</v>
      </c>
    </row>
    <row r="22">
      <c r="A22" s="2" t="str">
        <f>vlookup(C22,'Refernce Sheet'!A:B,2,FALSE)</f>
        <v>RF3</v>
      </c>
      <c r="C22" s="1" t="s">
        <v>50</v>
      </c>
      <c r="E22" s="1">
        <v>2600.0</v>
      </c>
    </row>
    <row r="23">
      <c r="A23" s="2" t="str">
        <f>vlookup(C23,'Refernce Sheet'!A:B,2,FALSE)</f>
        <v>RF2</v>
      </c>
      <c r="C23" s="1" t="s">
        <v>34</v>
      </c>
      <c r="E23" s="1">
        <v>2600.0</v>
      </c>
    </row>
    <row r="24">
      <c r="A24" s="2" t="str">
        <f>vlookup(C24,'Refernce Sheet'!A:B,2,FALSE)</f>
        <v>Garden</v>
      </c>
      <c r="C24" s="1" t="s">
        <v>74</v>
      </c>
      <c r="D24" s="1">
        <v>45000.0</v>
      </c>
    </row>
    <row r="25">
      <c r="A25" s="2" t="str">
        <f>vlookup(C25,'Refernce Sheet'!A:B,2,FALSE)</f>
        <v>KG2</v>
      </c>
      <c r="C25" s="1" t="s">
        <v>40</v>
      </c>
      <c r="E25" s="1">
        <v>2600.0</v>
      </c>
    </row>
    <row r="26">
      <c r="A26" s="2" t="str">
        <f>vlookup(C26,'Refernce Sheet'!A:B,2,FALSE)</f>
        <v>RG1</v>
      </c>
      <c r="C26" s="1" t="s">
        <v>10</v>
      </c>
      <c r="E26" s="1">
        <v>2600.0</v>
      </c>
    </row>
    <row r="27">
      <c r="A27" s="2" t="str">
        <f>vlookup(C27,'Refernce Sheet'!A:B,2,FALSE)</f>
        <v>Garden</v>
      </c>
      <c r="C27" s="1" t="s">
        <v>74</v>
      </c>
      <c r="D27" s="1">
        <v>47000.0</v>
      </c>
    </row>
    <row r="28">
      <c r="A28" s="2" t="str">
        <f>vlookup(C28,'Refernce Sheet'!A:B,2,FALSE)</f>
        <v>BESCOM</v>
      </c>
      <c r="C28" s="1" t="s">
        <v>69</v>
      </c>
      <c r="D28" s="1">
        <v>5354.0</v>
      </c>
    </row>
    <row r="29">
      <c r="A29" s="2" t="str">
        <f>vlookup(C29,'Refernce Sheet'!A:B,2,FALSE)</f>
        <v>BESCOM</v>
      </c>
      <c r="C29" s="1" t="s">
        <v>69</v>
      </c>
      <c r="D29" s="1">
        <v>2107.0</v>
      </c>
    </row>
    <row r="30">
      <c r="A30" s="2" t="str">
        <f>vlookup(C30,'Refernce Sheet'!A:B,2,FALSE)</f>
        <v>BESCOM</v>
      </c>
      <c r="C30" s="1" t="s">
        <v>69</v>
      </c>
      <c r="D30" s="1">
        <v>2223.0</v>
      </c>
    </row>
    <row r="31">
      <c r="A31" s="2" t="str">
        <f>vlookup(C31,'Refernce Sheet'!A:B,2,FALSE)</f>
        <v>Garden</v>
      </c>
      <c r="C31" s="1" t="s">
        <v>74</v>
      </c>
      <c r="D31" s="1">
        <v>23000.0</v>
      </c>
    </row>
    <row r="32">
      <c r="A32" s="2" t="str">
        <f>vlookup(C32,'Refernce Sheet'!A:B,2,FALSE)</f>
        <v>BWSSB</v>
      </c>
      <c r="C32" s="1" t="s">
        <v>53</v>
      </c>
      <c r="D32" s="1">
        <v>7794.0</v>
      </c>
    </row>
    <row r="33">
      <c r="A33" s="2" t="str">
        <f>vlookup(C33,'Refernce Sheet'!A:B,2,FALSE)</f>
        <v>KF1</v>
      </c>
      <c r="C33" s="1" t="s">
        <v>58</v>
      </c>
      <c r="E33" s="1">
        <v>2600.0</v>
      </c>
    </row>
    <row r="34">
      <c r="A34" s="2" t="str">
        <f>vlookup(C34,'Refernce Sheet'!A:B,2,FALSE)</f>
        <v>KG3</v>
      </c>
      <c r="C34" s="1" t="s">
        <v>14</v>
      </c>
      <c r="E34" s="1">
        <v>2600.0</v>
      </c>
    </row>
    <row r="35">
      <c r="A35" s="2" t="str">
        <f>vlookup(C35,'Refernce Sheet'!A:B,2,FALSE)</f>
        <v>#N/A</v>
      </c>
      <c r="C35" s="3"/>
    </row>
    <row r="38">
      <c r="F38" s="1" t="s">
        <v>5</v>
      </c>
    </row>
    <row r="39">
      <c r="D39" s="3">
        <f>SUM(D3:D38)</f>
        <v>170978</v>
      </c>
      <c r="E39" s="3">
        <f>sum(E3:E38)</f>
        <v>59800</v>
      </c>
      <c r="F39" s="3">
        <f>E39-D39</f>
        <v>-111178</v>
      </c>
    </row>
    <row r="41">
      <c r="E41" s="3">
        <f>E2+F39</f>
        <v>726902.7</v>
      </c>
    </row>
  </sheetData>
  <conditionalFormatting sqref="C32">
    <cfRule type="notContainsBlanks" dxfId="0" priority="1">
      <formula>LEN(TRIM(C32))&gt;0</formula>
    </cfRule>
  </conditionalFormatting>
  <dataValidations>
    <dataValidation type="list" allowBlank="1" showErrorMessage="1" sqref="C3:C35">
      <formula1>'Refernce Sheet'!$A$2:$A$42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/>
      <c r="B1" s="1"/>
      <c r="C1" s="1"/>
      <c r="D1" s="1" t="s">
        <v>3</v>
      </c>
      <c r="E1" s="1" t="s">
        <v>4</v>
      </c>
    </row>
    <row r="2">
      <c r="A2" s="1" t="s">
        <v>0</v>
      </c>
      <c r="B2" s="1" t="s">
        <v>1</v>
      </c>
      <c r="C2" s="1" t="s">
        <v>2</v>
      </c>
      <c r="E2" s="3">
        <v>726902.7</v>
      </c>
    </row>
    <row r="3">
      <c r="A3" s="2" t="str">
        <f>vlookup(C3,'Refernce Sheet'!A:B,2,FALSE)</f>
        <v>RS2</v>
      </c>
      <c r="C3" s="1" t="s">
        <v>16</v>
      </c>
      <c r="E3" s="1">
        <v>2600.0</v>
      </c>
    </row>
    <row r="4">
      <c r="A4" s="2" t="str">
        <f>vlookup(C4,'Refernce Sheet'!A:B,2,FALSE)</f>
        <v>VG3</v>
      </c>
      <c r="C4" s="1" t="s">
        <v>8</v>
      </c>
      <c r="E4" s="1">
        <v>7800.0</v>
      </c>
    </row>
    <row r="5">
      <c r="A5" s="2" t="str">
        <f>vlookup(C5,'Refernce Sheet'!A:B,2,FALSE)</f>
        <v>KF2</v>
      </c>
      <c r="C5" s="1" t="s">
        <v>18</v>
      </c>
      <c r="E5" s="1">
        <v>2600.0</v>
      </c>
    </row>
    <row r="6">
      <c r="A6" s="2" t="str">
        <f>vlookup(C6,'Refernce Sheet'!A:B,2,FALSE)</f>
        <v>VS2</v>
      </c>
      <c r="C6" s="1" t="s">
        <v>44</v>
      </c>
      <c r="E6" s="1">
        <v>2600.0</v>
      </c>
    </row>
    <row r="7">
      <c r="A7" s="2" t="str">
        <f>vlookup(C7,'Refernce Sheet'!A:B,2,FALSE)</f>
        <v>KG4</v>
      </c>
      <c r="C7" s="1" t="s">
        <v>12</v>
      </c>
      <c r="E7" s="1">
        <v>2600.0</v>
      </c>
    </row>
    <row r="8">
      <c r="A8" s="2" t="str">
        <f>vlookup(C8,'Refernce Sheet'!A:B,2,FALSE)</f>
        <v>#N/A</v>
      </c>
      <c r="C8" s="1" t="s">
        <v>22</v>
      </c>
      <c r="E8" s="1">
        <v>2600.0</v>
      </c>
    </row>
    <row r="9">
      <c r="A9" s="2" t="str">
        <f>vlookup(C9,'Refernce Sheet'!A:B,2,FALSE)</f>
        <v>KF3</v>
      </c>
      <c r="C9" s="1" t="s">
        <v>24</v>
      </c>
      <c r="E9" s="1">
        <v>2600.0</v>
      </c>
    </row>
    <row r="10">
      <c r="A10" s="2" t="str">
        <f>vlookup(C10,'Refernce Sheet'!A:B,2,FALSE)</f>
        <v>KS1</v>
      </c>
      <c r="C10" s="1" t="s">
        <v>20</v>
      </c>
      <c r="E10" s="1">
        <v>2600.0</v>
      </c>
    </row>
    <row r="11">
      <c r="A11" s="2" t="str">
        <f>vlookup(C11,'Refernce Sheet'!A:B,2,FALSE)</f>
        <v>RG1</v>
      </c>
      <c r="C11" s="1" t="s">
        <v>10</v>
      </c>
      <c r="E11" s="1">
        <v>2600.0</v>
      </c>
    </row>
    <row r="12">
      <c r="A12" s="2" t="str">
        <f>vlookup(C12,'Refernce Sheet'!A:B,2,FALSE)</f>
        <v>RG2</v>
      </c>
      <c r="C12" s="1" t="s">
        <v>26</v>
      </c>
      <c r="E12" s="1">
        <v>2600.0</v>
      </c>
    </row>
    <row r="13">
      <c r="A13" s="2" t="str">
        <f>vlookup(C13,'Refernce Sheet'!A:B,2,FALSE)</f>
        <v>VF1</v>
      </c>
      <c r="C13" s="1" t="s">
        <v>36</v>
      </c>
      <c r="E13" s="1">
        <v>2600.0</v>
      </c>
    </row>
    <row r="14">
      <c r="A14" s="2" t="str">
        <f>vlookup(C14,'Refernce Sheet'!A:B,2,FALSE)</f>
        <v>KS2</v>
      </c>
      <c r="C14" s="1" t="s">
        <v>67</v>
      </c>
      <c r="E14" s="1">
        <v>2600.0</v>
      </c>
    </row>
    <row r="15">
      <c r="A15" s="2" t="str">
        <f>vlookup(C15,'Refernce Sheet'!A:B,2,FALSE)</f>
        <v>VF3</v>
      </c>
      <c r="C15" s="1" t="s">
        <v>38</v>
      </c>
      <c r="E15" s="1">
        <v>2600.0</v>
      </c>
    </row>
    <row r="16">
      <c r="A16" s="2" t="str">
        <f>vlookup(C16,'Refernce Sheet'!A:B,2,FALSE)</f>
        <v>RS3</v>
      </c>
      <c r="C16" s="1" t="s">
        <v>32</v>
      </c>
      <c r="E16" s="1">
        <v>2600.0</v>
      </c>
    </row>
    <row r="17">
      <c r="A17" s="2" t="str">
        <f>vlookup(C17,'Refernce Sheet'!A:B,2,FALSE)</f>
        <v>Maintenance</v>
      </c>
      <c r="C17" s="1" t="s">
        <v>45</v>
      </c>
      <c r="D17" s="1">
        <v>13000.0</v>
      </c>
    </row>
    <row r="18">
      <c r="A18" s="2" t="str">
        <f>vlookup(C18,'Refernce Sheet'!A:B,2,FALSE)</f>
        <v>RF2</v>
      </c>
      <c r="C18" s="1" t="s">
        <v>34</v>
      </c>
      <c r="E18" s="1">
        <v>2600.0</v>
      </c>
    </row>
    <row r="19">
      <c r="A19" s="2" t="str">
        <f>vlookup(C19,'Refernce Sheet'!A:B,2,FALSE)</f>
        <v>Security</v>
      </c>
      <c r="C19" s="1" t="s">
        <v>66</v>
      </c>
      <c r="D19" s="1">
        <v>27500.0</v>
      </c>
    </row>
    <row r="20">
      <c r="A20" s="2" t="str">
        <f>vlookup(C20,'Refernce Sheet'!A:B,2,FALSE)</f>
        <v>RG3</v>
      </c>
      <c r="C20" s="1" t="s">
        <v>42</v>
      </c>
      <c r="E20" s="1">
        <v>2600.0</v>
      </c>
    </row>
    <row r="21">
      <c r="A21" s="2" t="str">
        <f>vlookup(C21,'Refernce Sheet'!A:B,2,FALSE)</f>
        <v>VG2</v>
      </c>
      <c r="C21" s="1" t="s">
        <v>56</v>
      </c>
      <c r="E21" s="1">
        <v>7800.0</v>
      </c>
    </row>
    <row r="22">
      <c r="A22" s="2" t="str">
        <f>vlookup(C22,'Refernce Sheet'!A:B,2,FALSE)</f>
        <v>VS3</v>
      </c>
      <c r="C22" s="1" t="s">
        <v>47</v>
      </c>
      <c r="E22" s="1">
        <v>2600.0</v>
      </c>
    </row>
    <row r="23">
      <c r="A23" s="2" t="str">
        <f>vlookup(C23,'Refernce Sheet'!A:B,2,FALSE)</f>
        <v>VF2</v>
      </c>
      <c r="C23" s="1" t="s">
        <v>28</v>
      </c>
      <c r="E23" s="1">
        <v>2600.0</v>
      </c>
    </row>
    <row r="24">
      <c r="A24" s="2" t="str">
        <f>vlookup(C24,'Refernce Sheet'!A:B,2,FALSE)</f>
        <v>KG2</v>
      </c>
      <c r="C24" s="1" t="s">
        <v>40</v>
      </c>
      <c r="E24" s="1">
        <v>2600.0</v>
      </c>
    </row>
    <row r="25">
      <c r="A25" s="2" t="str">
        <f>vlookup(C25,'Refernce Sheet'!A:B,2,FALSE)</f>
        <v>BESCOM</v>
      </c>
      <c r="C25" s="1" t="s">
        <v>69</v>
      </c>
      <c r="D25" s="1">
        <v>2182.0</v>
      </c>
    </row>
    <row r="26">
      <c r="A26" s="2" t="str">
        <f>vlookup(C26,'Refernce Sheet'!A:B,2,FALSE)</f>
        <v>BESCOM</v>
      </c>
      <c r="C26" s="1" t="s">
        <v>69</v>
      </c>
      <c r="D26" s="1">
        <v>2274.0</v>
      </c>
    </row>
    <row r="27">
      <c r="A27" s="2" t="str">
        <f>vlookup(C27,'Refernce Sheet'!A:B,2,FALSE)</f>
        <v>BESCOM</v>
      </c>
      <c r="C27" s="1" t="s">
        <v>69</v>
      </c>
      <c r="D27" s="1">
        <v>5214.0</v>
      </c>
    </row>
    <row r="28">
      <c r="A28" s="2" t="str">
        <f>vlookup(C28,'Refernce Sheet'!A:B,2,FALSE)</f>
        <v>VG1</v>
      </c>
      <c r="C28" s="1" t="s">
        <v>52</v>
      </c>
      <c r="E28" s="1">
        <v>2600.0</v>
      </c>
    </row>
    <row r="29">
      <c r="A29" s="2" t="str">
        <f>vlookup(C29,'Refernce Sheet'!A:B,2,FALSE)</f>
        <v>BWSSB</v>
      </c>
      <c r="C29" s="1" t="s">
        <v>53</v>
      </c>
      <c r="D29" s="1">
        <v>7838.0</v>
      </c>
    </row>
    <row r="30">
      <c r="A30" s="2" t="str">
        <f>vlookup(C30,'Refernce Sheet'!A:B,2,FALSE)</f>
        <v>Cash</v>
      </c>
      <c r="C30" s="1" t="s">
        <v>71</v>
      </c>
      <c r="D30" s="1">
        <v>30000.0</v>
      </c>
    </row>
    <row r="31">
      <c r="A31" s="2" t="str">
        <f>vlookup(C31,'Refernce Sheet'!A:B,2,FALSE)</f>
        <v>KF1</v>
      </c>
      <c r="C31" s="1" t="s">
        <v>58</v>
      </c>
      <c r="E31" s="1">
        <v>2600.0</v>
      </c>
    </row>
    <row r="32">
      <c r="A32" s="2" t="str">
        <f>vlookup(C32,'Refernce Sheet'!A:B,2,FALSE)</f>
        <v>#N/A</v>
      </c>
      <c r="C32" s="3"/>
    </row>
    <row r="33">
      <c r="A33" s="2" t="str">
        <f>vlookup(C33,'Refernce Sheet'!A:B,2,FALSE)</f>
        <v>#N/A</v>
      </c>
      <c r="C33" s="3"/>
    </row>
    <row r="34">
      <c r="A34" s="2" t="str">
        <f>vlookup(C34,'Refernce Sheet'!A:B,2,FALSE)</f>
        <v>#N/A</v>
      </c>
      <c r="C34" s="3"/>
    </row>
    <row r="35">
      <c r="A35" s="2" t="str">
        <f>vlookup(C35,'Refernce Sheet'!A:B,2,FALSE)</f>
        <v>#N/A</v>
      </c>
      <c r="C35" s="3"/>
    </row>
    <row r="36">
      <c r="D36" s="1" t="s">
        <v>3</v>
      </c>
      <c r="E36" s="1" t="s">
        <v>4</v>
      </c>
    </row>
    <row r="38">
      <c r="F38" s="1" t="s">
        <v>5</v>
      </c>
    </row>
    <row r="39">
      <c r="D39" s="3">
        <f>SUM(D3:D38)</f>
        <v>88008</v>
      </c>
      <c r="E39" s="3">
        <f>sum(E2:E38)</f>
        <v>794502.7</v>
      </c>
      <c r="F39" s="3">
        <f>E39-D39</f>
        <v>706494.7</v>
      </c>
    </row>
  </sheetData>
  <conditionalFormatting sqref="C32">
    <cfRule type="notContainsBlanks" dxfId="0" priority="1">
      <formula>LEN(TRIM(C32))&gt;0</formula>
    </cfRule>
  </conditionalFormatting>
  <dataValidations>
    <dataValidation type="list" allowBlank="1" showErrorMessage="1" sqref="C3:C35">
      <formula1>'Refernce Sheet'!$A$2:$A$42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 t="s">
        <v>0</v>
      </c>
      <c r="B1" s="1" t="s">
        <v>1</v>
      </c>
      <c r="C1" s="1" t="s">
        <v>2</v>
      </c>
      <c r="E1" s="1">
        <v>706494.7</v>
      </c>
    </row>
    <row r="2">
      <c r="A2" s="2" t="str">
        <f>vlookup(C2,'Refernce Sheet'!A:B,2,FALSE)</f>
        <v>KG3</v>
      </c>
      <c r="C2" s="1" t="s">
        <v>14</v>
      </c>
      <c r="E2" s="1">
        <v>2600.0</v>
      </c>
    </row>
    <row r="3">
      <c r="A3" s="2" t="str">
        <f>vlookup(C3,'Refernce Sheet'!A:B,2,FALSE)</f>
        <v>KG4</v>
      </c>
      <c r="C3" s="1" t="s">
        <v>12</v>
      </c>
      <c r="E3" s="1">
        <v>2600.0</v>
      </c>
    </row>
    <row r="4">
      <c r="A4" s="2" t="str">
        <f>vlookup(C4,'Refernce Sheet'!A:B,2,FALSE)</f>
        <v>RS2</v>
      </c>
      <c r="C4" s="1" t="s">
        <v>16</v>
      </c>
      <c r="E4" s="1">
        <v>2600.0</v>
      </c>
    </row>
    <row r="5">
      <c r="A5" s="2" t="str">
        <f>vlookup(C5,'Refernce Sheet'!A:B,2,FALSE)</f>
        <v>RG1</v>
      </c>
      <c r="C5" s="1" t="s">
        <v>10</v>
      </c>
      <c r="E5" s="1">
        <v>2600.0</v>
      </c>
    </row>
    <row r="6">
      <c r="A6" s="2" t="str">
        <f>vlookup(C6,'Refernce Sheet'!A:B,2,FALSE)</f>
        <v>KS1</v>
      </c>
      <c r="C6" s="1" t="s">
        <v>20</v>
      </c>
      <c r="E6" s="1">
        <v>2600.0</v>
      </c>
    </row>
    <row r="7">
      <c r="A7" s="2" t="str">
        <f>vlookup(C7,'Refernce Sheet'!A:B,2,FALSE)</f>
        <v>KF2</v>
      </c>
      <c r="C7" s="1" t="s">
        <v>18</v>
      </c>
      <c r="E7" s="1">
        <v>2600.0</v>
      </c>
    </row>
    <row r="8">
      <c r="A8" s="2" t="str">
        <f>vlookup(C8,'Refernce Sheet'!A:B,2,FALSE)</f>
        <v>#N/A</v>
      </c>
      <c r="C8" s="1" t="s">
        <v>22</v>
      </c>
      <c r="E8" s="1">
        <v>2600.0</v>
      </c>
    </row>
    <row r="9">
      <c r="A9" s="2" t="str">
        <f>vlookup(C9,'Refernce Sheet'!A:B,2,FALSE)</f>
        <v>RG2</v>
      </c>
      <c r="C9" s="1" t="s">
        <v>26</v>
      </c>
      <c r="E9" s="1">
        <v>2600.0</v>
      </c>
    </row>
    <row r="10">
      <c r="A10" s="2" t="str">
        <f>vlookup(C10,'Refernce Sheet'!A:B,2,FALSE)</f>
        <v>VF1</v>
      </c>
      <c r="C10" s="1" t="s">
        <v>36</v>
      </c>
      <c r="E10" s="1">
        <v>2600.0</v>
      </c>
    </row>
    <row r="11">
      <c r="A11" s="2" t="str">
        <f>vlookup(C11,'Refernce Sheet'!A:B,2,FALSE)</f>
        <v>KS2</v>
      </c>
      <c r="C11" s="1" t="s">
        <v>67</v>
      </c>
      <c r="E11" s="1">
        <v>2600.0</v>
      </c>
    </row>
    <row r="12">
      <c r="A12" s="2" t="str">
        <f>vlookup(C12,'Refernce Sheet'!A:B,2,FALSE)</f>
        <v>VF2</v>
      </c>
      <c r="C12" s="1" t="s">
        <v>28</v>
      </c>
      <c r="E12" s="1">
        <v>2600.0</v>
      </c>
    </row>
    <row r="13">
      <c r="A13" s="2" t="str">
        <f>vlookup(C13,'Refernce Sheet'!A:B,2,FALSE)</f>
        <v>KS4</v>
      </c>
      <c r="C13" s="1" t="s">
        <v>63</v>
      </c>
      <c r="E13" s="1">
        <v>5200.0</v>
      </c>
    </row>
    <row r="14">
      <c r="A14" s="2" t="str">
        <f>vlookup(C14,'Refernce Sheet'!A:B,2,FALSE)</f>
        <v>KF3</v>
      </c>
      <c r="C14" s="1" t="s">
        <v>24</v>
      </c>
      <c r="E14" s="1">
        <v>2600.0</v>
      </c>
    </row>
    <row r="15">
      <c r="A15" s="2" t="str">
        <f>vlookup(C15,'Refernce Sheet'!A:B,2,FALSE)</f>
        <v>RS3</v>
      </c>
      <c r="C15" s="1" t="s">
        <v>32</v>
      </c>
      <c r="E15" s="1">
        <v>2600.0</v>
      </c>
    </row>
    <row r="16">
      <c r="A16" s="2" t="str">
        <f>vlookup(C16,'Refernce Sheet'!A:B,2,FALSE)</f>
        <v>VS2</v>
      </c>
      <c r="C16" s="1" t="s">
        <v>44</v>
      </c>
      <c r="E16" s="1">
        <v>2600.0</v>
      </c>
    </row>
    <row r="17">
      <c r="A17" s="2" t="str">
        <f>vlookup(C17,'Refernce Sheet'!A:B,2,FALSE)</f>
        <v>KS3</v>
      </c>
      <c r="C17" s="1" t="s">
        <v>60</v>
      </c>
      <c r="E17" s="1">
        <v>5200.0</v>
      </c>
    </row>
    <row r="18">
      <c r="A18" s="2" t="str">
        <f>vlookup(C18,'Refernce Sheet'!A:B,2,FALSE)</f>
        <v>VF3</v>
      </c>
      <c r="C18" s="1" t="s">
        <v>38</v>
      </c>
      <c r="E18" s="1">
        <v>2600.0</v>
      </c>
    </row>
    <row r="19">
      <c r="A19" s="2" t="str">
        <f>vlookup(C19,'Refernce Sheet'!A:B,2,FALSE)</f>
        <v>RF2</v>
      </c>
      <c r="C19" s="1" t="s">
        <v>34</v>
      </c>
      <c r="E19" s="1">
        <v>2600.0</v>
      </c>
    </row>
    <row r="20">
      <c r="A20" s="2" t="str">
        <f>vlookup(C20,'Refernce Sheet'!A:B,2,FALSE)</f>
        <v>Maintenance</v>
      </c>
      <c r="C20" s="1" t="s">
        <v>45</v>
      </c>
      <c r="D20" s="1">
        <v>15000.0</v>
      </c>
    </row>
    <row r="21">
      <c r="A21" s="2" t="str">
        <f>vlookup(C21,'Refernce Sheet'!A:B,2,FALSE)</f>
        <v>VS3</v>
      </c>
      <c r="C21" s="1" t="s">
        <v>47</v>
      </c>
      <c r="E21" s="1">
        <v>2600.0</v>
      </c>
    </row>
    <row r="22">
      <c r="A22" s="2" t="str">
        <f>vlookup(C22,'Refernce Sheet'!A:B,2,FALSE)</f>
        <v>RG3</v>
      </c>
      <c r="C22" s="1" t="s">
        <v>42</v>
      </c>
      <c r="E22" s="1">
        <v>2600.0</v>
      </c>
    </row>
    <row r="23">
      <c r="A23" s="2" t="str">
        <f>vlookup(C23,'Refernce Sheet'!A:B,2,FALSE)</f>
        <v>RF3</v>
      </c>
      <c r="C23" s="1" t="s">
        <v>50</v>
      </c>
      <c r="E23" s="1">
        <v>5200.0</v>
      </c>
    </row>
    <row r="24">
      <c r="A24" s="2" t="str">
        <f>vlookup(C24,'Refernce Sheet'!A:B,2,FALSE)</f>
        <v>Security</v>
      </c>
      <c r="C24" s="1" t="s">
        <v>66</v>
      </c>
      <c r="D24" s="1">
        <v>27500.0</v>
      </c>
    </row>
    <row r="25">
      <c r="A25" s="2" t="str">
        <f>vlookup(C25,'Refernce Sheet'!A:B,2,FALSE)</f>
        <v>KG2</v>
      </c>
      <c r="C25" s="1" t="s">
        <v>40</v>
      </c>
      <c r="E25" s="1">
        <v>2600.0</v>
      </c>
    </row>
    <row r="26">
      <c r="A26" s="2" t="str">
        <f>vlookup(C26,'Refernce Sheet'!A:B,2,FALSE)</f>
        <v>Cash</v>
      </c>
      <c r="B26" s="1" t="s">
        <v>75</v>
      </c>
      <c r="C26" s="1" t="s">
        <v>71</v>
      </c>
      <c r="D26" s="1">
        <v>600000.0</v>
      </c>
      <c r="F26" s="1" t="s">
        <v>76</v>
      </c>
    </row>
    <row r="27">
      <c r="A27" s="2" t="str">
        <f>vlookup(C27,'Refernce Sheet'!A:B,2,FALSE)</f>
        <v>VG1</v>
      </c>
      <c r="C27" s="1" t="s">
        <v>52</v>
      </c>
      <c r="E27" s="1">
        <v>2600.0</v>
      </c>
    </row>
    <row r="28">
      <c r="A28" s="2" t="str">
        <f>vlookup(C28,'Refernce Sheet'!A:B,2,FALSE)</f>
        <v>BWSSB</v>
      </c>
      <c r="C28" s="1" t="s">
        <v>53</v>
      </c>
      <c r="D28" s="1">
        <v>2380.0</v>
      </c>
      <c r="F28" s="1" t="s">
        <v>77</v>
      </c>
    </row>
    <row r="29">
      <c r="A29" s="2" t="str">
        <f>vlookup(C29,'Refernce Sheet'!A:B,2,FALSE)</f>
        <v>BESCOM</v>
      </c>
      <c r="C29" s="1" t="s">
        <v>69</v>
      </c>
      <c r="D29" s="1">
        <v>2164.0</v>
      </c>
    </row>
    <row r="30">
      <c r="A30" s="2" t="str">
        <f>vlookup(C30,'Refernce Sheet'!A:B,2,FALSE)</f>
        <v>BESCOM</v>
      </c>
      <c r="C30" s="1" t="s">
        <v>69</v>
      </c>
      <c r="D30" s="1">
        <v>5258.0</v>
      </c>
    </row>
    <row r="31">
      <c r="A31" s="2" t="str">
        <f>vlookup(C31,'Refernce Sheet'!A:B,2,FALSE)</f>
        <v>BESCOM</v>
      </c>
      <c r="C31" s="1" t="s">
        <v>69</v>
      </c>
      <c r="D31" s="1">
        <v>2299.0</v>
      </c>
    </row>
    <row r="32">
      <c r="A32" s="2" t="str">
        <f>vlookup(C32,'Refernce Sheet'!A:B,2,FALSE)</f>
        <v>KF1</v>
      </c>
      <c r="C32" s="1" t="s">
        <v>58</v>
      </c>
      <c r="E32" s="1">
        <v>2600.0</v>
      </c>
    </row>
    <row r="33">
      <c r="A33" s="2" t="str">
        <f>vlookup(C33,'Refernce Sheet'!A:B,2,FALSE)</f>
        <v>RS3</v>
      </c>
      <c r="C33" s="1" t="s">
        <v>32</v>
      </c>
      <c r="E33" s="1">
        <v>2380.0</v>
      </c>
      <c r="F33" s="1" t="s">
        <v>78</v>
      </c>
    </row>
    <row r="34">
      <c r="A34" s="2" t="str">
        <f>vlookup(C34,'Refernce Sheet'!A:B,2,FALSE)</f>
        <v>#N/A</v>
      </c>
      <c r="C34" s="3"/>
    </row>
    <row r="35">
      <c r="D35" s="1" t="s">
        <v>3</v>
      </c>
      <c r="E35" s="1" t="s">
        <v>4</v>
      </c>
    </row>
    <row r="37">
      <c r="F37" s="1" t="s">
        <v>5</v>
      </c>
    </row>
    <row r="38">
      <c r="D38" s="3">
        <f>SUM(D2:D37)</f>
        <v>654601</v>
      </c>
      <c r="E38" s="3">
        <f>sum(E1:E37)</f>
        <v>779074.7</v>
      </c>
      <c r="F38" s="3">
        <f>E38-D38</f>
        <v>124473.7</v>
      </c>
    </row>
  </sheetData>
  <conditionalFormatting sqref="C31">
    <cfRule type="notContainsBlanks" dxfId="0" priority="1">
      <formula>LEN(TRIM(C31))&gt;0</formula>
    </cfRule>
  </conditionalFormatting>
  <dataValidations>
    <dataValidation type="list" allowBlank="1" showErrorMessage="1" sqref="C2:C34">
      <formula1>'Refernce Sheet'!$A$2:$A$42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 t="s">
        <v>0</v>
      </c>
      <c r="B1" s="1" t="s">
        <v>1</v>
      </c>
      <c r="C1" s="1" t="s">
        <v>2</v>
      </c>
      <c r="E1" s="1">
        <v>124473.7</v>
      </c>
    </row>
    <row r="2">
      <c r="A2" s="2" t="str">
        <f>vlookup(C2,'Refernce Sheet'!A:B,2,FALSE)</f>
        <v>KG3</v>
      </c>
      <c r="C2" s="1" t="s">
        <v>14</v>
      </c>
      <c r="E2" s="1">
        <v>2600.0</v>
      </c>
    </row>
    <row r="3">
      <c r="A3" s="2" t="str">
        <f>vlookup(C3,'Refernce Sheet'!A:B,2,FALSE)</f>
        <v>RG2</v>
      </c>
      <c r="C3" s="1" t="s">
        <v>26</v>
      </c>
      <c r="E3" s="1">
        <v>2600.0</v>
      </c>
    </row>
    <row r="4">
      <c r="A4" s="2" t="str">
        <f>vlookup(C4,'Refernce Sheet'!A:B,2,FALSE)</f>
        <v>KF2</v>
      </c>
      <c r="C4" s="1" t="s">
        <v>18</v>
      </c>
      <c r="E4" s="1">
        <v>2600.0</v>
      </c>
    </row>
    <row r="5">
      <c r="A5" s="2" t="str">
        <f>vlookup(C5,'Refernce Sheet'!A:B,2,FALSE)</f>
        <v>RS2</v>
      </c>
      <c r="C5" s="1" t="s">
        <v>16</v>
      </c>
      <c r="E5" s="1">
        <v>2600.0</v>
      </c>
    </row>
    <row r="6">
      <c r="A6" s="2" t="str">
        <f>vlookup(C6,'Refernce Sheet'!A:B,2,FALSE)</f>
        <v>#N/A</v>
      </c>
      <c r="C6" s="1" t="s">
        <v>22</v>
      </c>
      <c r="E6" s="1">
        <v>2600.0</v>
      </c>
    </row>
    <row r="7">
      <c r="A7" s="2" t="str">
        <f>vlookup(C7,'Refernce Sheet'!A:B,2,FALSE)</f>
        <v>RG1</v>
      </c>
      <c r="C7" s="1" t="s">
        <v>10</v>
      </c>
      <c r="E7" s="1">
        <v>2600.0</v>
      </c>
    </row>
    <row r="8">
      <c r="A8" s="2" t="str">
        <f>vlookup(C8,'Refernce Sheet'!A:B,2,FALSE)</f>
        <v>KS1</v>
      </c>
      <c r="C8" s="1" t="s">
        <v>20</v>
      </c>
      <c r="E8" s="1">
        <v>2600.0</v>
      </c>
    </row>
    <row r="9">
      <c r="A9" s="2" t="str">
        <f>vlookup(C9,'Refernce Sheet'!A:B,2,FALSE)</f>
        <v>KS2</v>
      </c>
      <c r="C9" s="1" t="s">
        <v>67</v>
      </c>
      <c r="E9" s="1">
        <v>2600.0</v>
      </c>
    </row>
    <row r="10">
      <c r="A10" s="2" t="str">
        <f>vlookup(C10,'Refernce Sheet'!A:B,2,FALSE)</f>
        <v>VF1</v>
      </c>
      <c r="C10" s="1" t="s">
        <v>62</v>
      </c>
      <c r="E10" s="1">
        <v>2600.0</v>
      </c>
    </row>
    <row r="11">
      <c r="A11" s="2" t="str">
        <f>vlookup(C11,'Refernce Sheet'!A:B,2,FALSE)</f>
        <v>VF2</v>
      </c>
      <c r="C11" s="1" t="s">
        <v>28</v>
      </c>
      <c r="E11" s="1">
        <v>2600.0</v>
      </c>
    </row>
    <row r="12">
      <c r="A12" s="2" t="str">
        <f>vlookup(C12,'Refernce Sheet'!A:B,2,FALSE)</f>
        <v>VS2</v>
      </c>
      <c r="C12" s="1" t="s">
        <v>44</v>
      </c>
      <c r="E12" s="1">
        <v>2600.0</v>
      </c>
    </row>
    <row r="13">
      <c r="A13" s="2" t="str">
        <f>vlookup(C13,'Refernce Sheet'!A:B,2,FALSE)</f>
        <v>VF3</v>
      </c>
      <c r="C13" s="1" t="s">
        <v>38</v>
      </c>
      <c r="E13" s="1">
        <v>2600.0</v>
      </c>
    </row>
    <row r="14">
      <c r="A14" s="2" t="str">
        <f>vlookup(C14,'Refernce Sheet'!A:B,2,FALSE)</f>
        <v>RS3</v>
      </c>
      <c r="C14" s="1" t="s">
        <v>32</v>
      </c>
      <c r="E14" s="1">
        <v>2600.0</v>
      </c>
    </row>
    <row r="15">
      <c r="A15" s="2" t="str">
        <f>vlookup(C15,'Refernce Sheet'!A:B,2,FALSE)</f>
        <v>RF2</v>
      </c>
      <c r="C15" s="1" t="s">
        <v>34</v>
      </c>
      <c r="E15" s="1">
        <v>2600.0</v>
      </c>
    </row>
    <row r="16">
      <c r="A16" s="2" t="str">
        <f>vlookup(C16,'Refernce Sheet'!A:B,2,FALSE)</f>
        <v>KF3</v>
      </c>
      <c r="C16" s="1" t="s">
        <v>24</v>
      </c>
      <c r="E16" s="1">
        <v>2600.0</v>
      </c>
    </row>
    <row r="17">
      <c r="A17" s="2" t="str">
        <f>vlookup(C17,'Refernce Sheet'!A:B,2,FALSE)</f>
        <v>RG3</v>
      </c>
      <c r="C17" s="1" t="s">
        <v>42</v>
      </c>
      <c r="E17" s="1">
        <v>2600.0</v>
      </c>
    </row>
    <row r="18">
      <c r="A18" s="2" t="str">
        <f>vlookup(C18,'Refernce Sheet'!A:B,2,FALSE)</f>
        <v>Security</v>
      </c>
      <c r="B18" s="4">
        <v>45723.0</v>
      </c>
      <c r="C18" s="1" t="s">
        <v>66</v>
      </c>
      <c r="D18" s="1">
        <v>27500.0</v>
      </c>
    </row>
    <row r="19">
      <c r="A19" s="2" t="str">
        <f>vlookup(C19,'Refernce Sheet'!A:B,2,FALSE)</f>
        <v>Maintenance</v>
      </c>
      <c r="B19" s="4">
        <v>45723.0</v>
      </c>
      <c r="C19" s="1" t="s">
        <v>45</v>
      </c>
      <c r="D19" s="1">
        <v>15000.0</v>
      </c>
    </row>
    <row r="20">
      <c r="A20" s="2" t="str">
        <f>vlookup(C20,'Refernce Sheet'!A:B,2,FALSE)</f>
        <v>RF3</v>
      </c>
      <c r="C20" s="1" t="s">
        <v>50</v>
      </c>
      <c r="E20" s="1">
        <v>2600.0</v>
      </c>
    </row>
    <row r="21">
      <c r="A21" s="2" t="str">
        <f>vlookup(C21,'Refernce Sheet'!A:B,2,FALSE)</f>
        <v>VS3</v>
      </c>
      <c r="C21" s="1" t="s">
        <v>47</v>
      </c>
      <c r="E21" s="1">
        <v>2600.0</v>
      </c>
    </row>
    <row r="22">
      <c r="A22" s="2" t="str">
        <f>vlookup(C22,'Refernce Sheet'!A:B,2,FALSE)</f>
        <v>KG2</v>
      </c>
      <c r="C22" s="1" t="s">
        <v>40</v>
      </c>
      <c r="E22" s="1">
        <v>2600.0</v>
      </c>
    </row>
    <row r="23">
      <c r="A23" s="2" t="str">
        <f>vlookup(C23,'Refernce Sheet'!A:B,2,FALSE)</f>
        <v>BWSSB</v>
      </c>
      <c r="B23" s="4">
        <v>45728.0</v>
      </c>
      <c r="C23" s="1" t="s">
        <v>53</v>
      </c>
      <c r="D23" s="1">
        <v>7822.0</v>
      </c>
    </row>
    <row r="24">
      <c r="A24" s="2" t="str">
        <f>vlookup(C24,'Refernce Sheet'!A:B,2,FALSE)</f>
        <v>BESCOM</v>
      </c>
      <c r="B24" s="4">
        <v>45733.0</v>
      </c>
      <c r="C24" s="1" t="s">
        <v>69</v>
      </c>
      <c r="D24" s="1">
        <v>2124.0</v>
      </c>
    </row>
    <row r="25">
      <c r="A25" s="2" t="str">
        <f>vlookup(C25,'Refernce Sheet'!A:B,2,FALSE)</f>
        <v>BESCOM</v>
      </c>
      <c r="B25" s="4">
        <v>45733.0</v>
      </c>
      <c r="C25" s="1" t="s">
        <v>69</v>
      </c>
      <c r="D25" s="1">
        <v>5443.0</v>
      </c>
    </row>
    <row r="26">
      <c r="A26" s="2" t="str">
        <f>vlookup(C26,'Refernce Sheet'!A:B,2,FALSE)</f>
        <v>BESCOM</v>
      </c>
      <c r="B26" s="4">
        <v>45733.0</v>
      </c>
      <c r="C26" s="1" t="s">
        <v>69</v>
      </c>
      <c r="D26" s="1">
        <v>2204.0</v>
      </c>
    </row>
    <row r="27">
      <c r="A27" s="2" t="str">
        <f>vlookup(C27,'Refernce Sheet'!A:B,2,FALSE)</f>
        <v>RS2</v>
      </c>
      <c r="C27" s="1" t="s">
        <v>16</v>
      </c>
      <c r="E27" s="1">
        <v>2600.0</v>
      </c>
    </row>
    <row r="28">
      <c r="A28" s="2" t="str">
        <f>vlookup(C28,'Refernce Sheet'!A:B,2,FALSE)</f>
        <v>#N/A</v>
      </c>
      <c r="C28" s="3"/>
      <c r="E28" s="1">
        <v>31698.0</v>
      </c>
    </row>
    <row r="29">
      <c r="A29" s="2" t="str">
        <f>vlookup(C29,'Refernce Sheet'!A:B,2,FALSE)</f>
        <v>KF4</v>
      </c>
      <c r="C29" s="1" t="s">
        <v>68</v>
      </c>
      <c r="E29" s="1">
        <v>15600.0</v>
      </c>
    </row>
    <row r="30">
      <c r="A30" s="2" t="str">
        <f>vlookup(C30,'Refernce Sheet'!A:B,2,FALSE)</f>
        <v>KG3</v>
      </c>
      <c r="C30" s="1" t="s">
        <v>14</v>
      </c>
      <c r="E30" s="1">
        <v>2600.0</v>
      </c>
    </row>
    <row r="31">
      <c r="A31" s="2" t="str">
        <f>vlookup(C31,'Refernce Sheet'!A:B,2,FALSE)</f>
        <v>KF1</v>
      </c>
      <c r="C31" s="1" t="s">
        <v>58</v>
      </c>
      <c r="E31" s="1">
        <v>2600.0</v>
      </c>
    </row>
    <row r="32">
      <c r="A32" s="2" t="str">
        <f>vlookup(C32,'Refernce Sheet'!A:B,2,FALSE)</f>
        <v>#N/A</v>
      </c>
      <c r="C32" s="3"/>
    </row>
    <row r="33">
      <c r="A33" s="2" t="str">
        <f>vlookup(C33,'Refernce Sheet'!A:B,2,FALSE)</f>
        <v>#N/A</v>
      </c>
      <c r="C33" s="3"/>
    </row>
    <row r="34">
      <c r="A34" s="2" t="str">
        <f>vlookup(C34,'Refernce Sheet'!A:B,2,FALSE)</f>
        <v>#N/A</v>
      </c>
      <c r="C34" s="3"/>
    </row>
    <row r="35">
      <c r="D35" s="1" t="s">
        <v>3</v>
      </c>
      <c r="E35" s="1" t="s">
        <v>4</v>
      </c>
    </row>
    <row r="37">
      <c r="F37" s="1" t="s">
        <v>5</v>
      </c>
    </row>
    <row r="38">
      <c r="D38" s="3">
        <f>SUM(D2:D37)</f>
        <v>60093</v>
      </c>
      <c r="E38" s="3">
        <f>sum(E1:E37)</f>
        <v>228971.7</v>
      </c>
      <c r="F38" s="3">
        <f>E38-D38</f>
        <v>168878.7</v>
      </c>
    </row>
    <row r="40">
      <c r="E40" s="3">
        <f>E38-E2</f>
        <v>226371.7</v>
      </c>
    </row>
  </sheetData>
  <conditionalFormatting sqref="C31">
    <cfRule type="notContainsBlanks" dxfId="0" priority="1">
      <formula>LEN(TRIM(C31))&gt;0</formula>
    </cfRule>
  </conditionalFormatting>
  <dataValidations>
    <dataValidation type="list" allowBlank="1" showErrorMessage="1" sqref="C2:C34">
      <formula1>'Refernce Sheet'!$A$2:$A$42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 t="s">
        <v>0</v>
      </c>
      <c r="B1" s="1" t="s">
        <v>1</v>
      </c>
      <c r="C1" s="1" t="s">
        <v>2</v>
      </c>
      <c r="E1" s="5">
        <v>168878.7</v>
      </c>
    </row>
    <row r="2">
      <c r="A2" s="2" t="str">
        <f>vlookup(C2,'Refernce Sheet'!A:B,2,FALSE)</f>
        <v>KS2</v>
      </c>
      <c r="C2" s="1" t="s">
        <v>67</v>
      </c>
      <c r="E2" s="1">
        <v>2600.0</v>
      </c>
    </row>
    <row r="3">
      <c r="A3" s="2" t="str">
        <f>vlookup(C3,'Refernce Sheet'!A:B,2,FALSE)</f>
        <v>RS2</v>
      </c>
      <c r="C3" s="1" t="s">
        <v>16</v>
      </c>
      <c r="E3" s="1">
        <v>2600.0</v>
      </c>
    </row>
    <row r="4">
      <c r="A4" s="2" t="str">
        <f>vlookup(C4,'Refernce Sheet'!A:B,2,FALSE)</f>
        <v>RG1</v>
      </c>
      <c r="C4" s="1" t="s">
        <v>10</v>
      </c>
      <c r="E4" s="1">
        <v>2600.0</v>
      </c>
    </row>
    <row r="5">
      <c r="A5" s="2" t="str">
        <f>vlookup(C5,'Refernce Sheet'!A:B,2,FALSE)</f>
        <v>KF2</v>
      </c>
      <c r="C5" s="1" t="s">
        <v>18</v>
      </c>
      <c r="E5" s="1">
        <v>2600.0</v>
      </c>
    </row>
    <row r="6">
      <c r="A6" s="2" t="str">
        <f>vlookup(C6,'Refernce Sheet'!A:B,2,FALSE)</f>
        <v>VG3</v>
      </c>
      <c r="C6" s="1" t="s">
        <v>8</v>
      </c>
      <c r="E6" s="1">
        <v>7800.0</v>
      </c>
    </row>
    <row r="7">
      <c r="A7" s="2" t="str">
        <f>vlookup(C7,'Refernce Sheet'!A:B,2,FALSE)</f>
        <v>KF3</v>
      </c>
      <c r="C7" s="1" t="s">
        <v>24</v>
      </c>
      <c r="E7" s="1">
        <v>2600.0</v>
      </c>
    </row>
    <row r="8">
      <c r="A8" s="2" t="str">
        <f>vlookup(C8,'Refernce Sheet'!A:B,2,FALSE)</f>
        <v>KG2</v>
      </c>
      <c r="C8" s="1" t="s">
        <v>40</v>
      </c>
      <c r="E8" s="1">
        <v>2600.0</v>
      </c>
    </row>
    <row r="9">
      <c r="A9" s="2" t="str">
        <f>vlookup(C9,'Refernce Sheet'!A:B,2,FALSE)</f>
        <v>VS2</v>
      </c>
      <c r="C9" s="1" t="s">
        <v>44</v>
      </c>
      <c r="E9" s="1">
        <v>2600.0</v>
      </c>
    </row>
    <row r="10">
      <c r="A10" s="2" t="str">
        <f>vlookup(C10,'Refernce Sheet'!A:B,2,FALSE)</f>
        <v>Cash</v>
      </c>
      <c r="C10" s="1" t="s">
        <v>71</v>
      </c>
      <c r="D10" s="1">
        <v>25000.0</v>
      </c>
    </row>
    <row r="11">
      <c r="A11" s="2" t="str">
        <f>vlookup(C11,'Refernce Sheet'!A:B,2,FALSE)</f>
        <v>#N/A</v>
      </c>
      <c r="C11" s="1" t="s">
        <v>22</v>
      </c>
      <c r="E11" s="1">
        <v>2600.0</v>
      </c>
    </row>
    <row r="12">
      <c r="A12" s="2" t="str">
        <f>vlookup(C12,'Refernce Sheet'!A:B,2,FALSE)</f>
        <v>KS4</v>
      </c>
      <c r="C12" s="1" t="s">
        <v>63</v>
      </c>
      <c r="E12" s="1">
        <v>2600.0</v>
      </c>
    </row>
    <row r="13">
      <c r="A13" s="2" t="str">
        <f>vlookup(C13,'Refernce Sheet'!A:B,2,FALSE)</f>
        <v>KS1</v>
      </c>
      <c r="C13" s="1" t="s">
        <v>20</v>
      </c>
      <c r="E13" s="1">
        <v>2600.0</v>
      </c>
    </row>
    <row r="14">
      <c r="A14" s="2" t="str">
        <f>vlookup(C14,'Refernce Sheet'!A:B,2,FALSE)</f>
        <v>KS3</v>
      </c>
      <c r="C14" s="1" t="s">
        <v>60</v>
      </c>
      <c r="E14" s="1">
        <v>5200.0</v>
      </c>
    </row>
    <row r="15">
      <c r="A15" s="2" t="str">
        <f>vlookup(C15,'Refernce Sheet'!A:B,2,FALSE)</f>
        <v>VF1</v>
      </c>
      <c r="C15" s="1" t="s">
        <v>62</v>
      </c>
      <c r="E15" s="1">
        <v>2600.0</v>
      </c>
    </row>
    <row r="16">
      <c r="A16" s="2" t="str">
        <f>vlookup(C16,'Refernce Sheet'!A:B,2,FALSE)</f>
        <v>KG4</v>
      </c>
      <c r="C16" s="1" t="s">
        <v>12</v>
      </c>
      <c r="E16" s="1">
        <v>2600.0</v>
      </c>
    </row>
    <row r="17">
      <c r="A17" s="2" t="str">
        <f>vlookup(C17,'Refernce Sheet'!A:B,2,FALSE)</f>
        <v>KG4</v>
      </c>
      <c r="C17" s="1" t="s">
        <v>12</v>
      </c>
      <c r="E17" s="1">
        <v>2600.0</v>
      </c>
    </row>
    <row r="18">
      <c r="A18" s="2" t="str">
        <f>vlookup(C18,'Refernce Sheet'!A:B,2,FALSE)</f>
        <v>VG1</v>
      </c>
      <c r="B18" s="4"/>
      <c r="C18" s="1" t="s">
        <v>52</v>
      </c>
      <c r="E18" s="1">
        <v>5200.0</v>
      </c>
    </row>
    <row r="19">
      <c r="A19" s="2" t="str">
        <f>vlookup(C19,'Refernce Sheet'!A:B,2,FALSE)</f>
        <v>VF2</v>
      </c>
      <c r="B19" s="4"/>
      <c r="C19" s="1" t="s">
        <v>28</v>
      </c>
      <c r="E19" s="1">
        <v>2600.0</v>
      </c>
    </row>
    <row r="20">
      <c r="A20" s="2" t="str">
        <f>vlookup(C20,'Refernce Sheet'!A:B,2,FALSE)</f>
        <v>RF3</v>
      </c>
      <c r="C20" s="1" t="s">
        <v>50</v>
      </c>
      <c r="E20" s="1">
        <v>2600.0</v>
      </c>
    </row>
    <row r="21">
      <c r="A21" s="2" t="str">
        <f>vlookup(C21,'Refernce Sheet'!A:B,2,FALSE)</f>
        <v>Maintenance</v>
      </c>
      <c r="B21" s="6">
        <v>45754.0</v>
      </c>
      <c r="C21" s="1" t="s">
        <v>45</v>
      </c>
      <c r="D21" s="1">
        <v>15000.0</v>
      </c>
    </row>
    <row r="22">
      <c r="A22" s="2" t="str">
        <f>vlookup(C22,'Refernce Sheet'!A:B,2,FALSE)</f>
        <v>RF2</v>
      </c>
      <c r="C22" s="1" t="s">
        <v>34</v>
      </c>
      <c r="E22" s="1">
        <v>2600.0</v>
      </c>
    </row>
    <row r="23">
      <c r="A23" s="2" t="str">
        <f>vlookup(C23,'Refernce Sheet'!A:B,2,FALSE)</f>
        <v>Bank</v>
      </c>
      <c r="B23" s="4"/>
      <c r="C23" s="1" t="s">
        <v>73</v>
      </c>
      <c r="D23" s="1">
        <v>11.8</v>
      </c>
    </row>
    <row r="24">
      <c r="A24" s="2" t="str">
        <f>vlookup(C24,'Refernce Sheet'!A:B,2,FALSE)</f>
        <v>RG3</v>
      </c>
      <c r="B24" s="4"/>
      <c r="C24" s="1" t="s">
        <v>42</v>
      </c>
      <c r="E24" s="1">
        <v>2600.0</v>
      </c>
    </row>
    <row r="25">
      <c r="A25" s="2" t="str">
        <f>vlookup(C25,'Refernce Sheet'!A:B,2,FALSE)</f>
        <v>VS1</v>
      </c>
      <c r="B25" s="4"/>
      <c r="C25" s="1" t="s">
        <v>79</v>
      </c>
      <c r="E25" s="1">
        <v>31200.0</v>
      </c>
      <c r="F25" s="1" t="s">
        <v>80</v>
      </c>
    </row>
    <row r="26">
      <c r="A26" s="2" t="str">
        <f>vlookup(C26,'Refernce Sheet'!A:B,2,FALSE)</f>
        <v>VF3</v>
      </c>
      <c r="B26" s="4"/>
      <c r="C26" s="1" t="s">
        <v>38</v>
      </c>
      <c r="E26" s="1">
        <v>2600.0</v>
      </c>
    </row>
    <row r="27">
      <c r="A27" s="7" t="s">
        <v>81</v>
      </c>
      <c r="C27" s="1" t="s">
        <v>82</v>
      </c>
      <c r="E27" s="1">
        <v>31200.0</v>
      </c>
      <c r="F27" s="1" t="s">
        <v>82</v>
      </c>
    </row>
    <row r="28">
      <c r="A28" s="2" t="str">
        <f>vlookup(C28,'Refernce Sheet'!A:B,2,FALSE)</f>
        <v>Security</v>
      </c>
      <c r="B28" s="6">
        <v>45762.0</v>
      </c>
      <c r="C28" s="1" t="s">
        <v>66</v>
      </c>
      <c r="D28" s="1">
        <v>29000.0</v>
      </c>
    </row>
    <row r="29">
      <c r="A29" s="2" t="str">
        <f>vlookup(C29,'Refernce Sheet'!A:B,2,FALSE)</f>
        <v>BWSSB</v>
      </c>
      <c r="B29" s="6">
        <v>45763.0</v>
      </c>
      <c r="C29" s="1" t="s">
        <v>53</v>
      </c>
      <c r="D29" s="1">
        <v>8278.0</v>
      </c>
    </row>
    <row r="30">
      <c r="A30" s="2" t="str">
        <f>vlookup(C30,'Refernce Sheet'!A:B,2,FALSE)</f>
        <v>RG2</v>
      </c>
      <c r="C30" s="1" t="s">
        <v>26</v>
      </c>
      <c r="E30" s="1">
        <v>2600.0</v>
      </c>
    </row>
    <row r="31">
      <c r="A31" s="2" t="str">
        <f>vlookup(C31,'Refernce Sheet'!A:B,2,FALSE)</f>
        <v>BESCOM</v>
      </c>
      <c r="B31" s="6">
        <v>45764.0</v>
      </c>
      <c r="C31" s="1" t="s">
        <v>69</v>
      </c>
      <c r="D31" s="1">
        <v>2302.0</v>
      </c>
    </row>
    <row r="32">
      <c r="A32" s="2" t="str">
        <f>vlookup(C32,'Refernce Sheet'!A:B,2,FALSE)</f>
        <v>BESCOM</v>
      </c>
      <c r="B32" s="6">
        <v>45764.0</v>
      </c>
      <c r="C32" s="1" t="s">
        <v>69</v>
      </c>
      <c r="D32" s="1">
        <v>5986.0</v>
      </c>
    </row>
    <row r="33">
      <c r="A33" s="2" t="str">
        <f>vlookup(C33,'Refernce Sheet'!A:B,2,FALSE)</f>
        <v>BESCOM</v>
      </c>
      <c r="B33" s="6">
        <v>45764.0</v>
      </c>
      <c r="C33" s="1" t="s">
        <v>69</v>
      </c>
      <c r="D33" s="1">
        <v>2250.0</v>
      </c>
    </row>
    <row r="34">
      <c r="A34" s="2" t="str">
        <f>vlookup(C34,'Refernce Sheet'!A:B,2,FALSE)</f>
        <v>Lift</v>
      </c>
      <c r="C34" s="1" t="s">
        <v>70</v>
      </c>
      <c r="D34" s="1">
        <v>23306.0</v>
      </c>
    </row>
    <row r="35">
      <c r="A35" s="2" t="str">
        <f>vlookup(C35,'Refernce Sheet'!A:B,2,FALSE)</f>
        <v>VS3</v>
      </c>
      <c r="C35" s="1" t="s">
        <v>47</v>
      </c>
      <c r="E35" s="1">
        <v>2600.0</v>
      </c>
    </row>
    <row r="36">
      <c r="A36" s="2" t="str">
        <f>vlookup(C36,'Refernce Sheet'!A:B,2,FALSE)</f>
        <v>VG2</v>
      </c>
      <c r="C36" s="1" t="s">
        <v>56</v>
      </c>
      <c r="E36" s="1">
        <v>7800.0</v>
      </c>
    </row>
    <row r="37">
      <c r="A37" s="2" t="str">
        <f>vlookup(C37,'Refernce Sheet'!A:B,2,FALSE)</f>
        <v>#N/A</v>
      </c>
      <c r="C37" s="3"/>
    </row>
    <row r="38">
      <c r="A38" s="2" t="str">
        <f>vlookup(C38,'Refernce Sheet'!A:B,2,FALSE)</f>
        <v>#N/A</v>
      </c>
      <c r="C38" s="3"/>
    </row>
    <row r="39">
      <c r="A39" s="2"/>
    </row>
    <row r="40">
      <c r="A40" s="2"/>
      <c r="D40" s="3">
        <f>SUM(D2:D38)</f>
        <v>111133.8</v>
      </c>
      <c r="E40" s="8">
        <f>SUM(E1:E38)</f>
        <v>309278.7</v>
      </c>
      <c r="F40" s="8">
        <f>E40-D40</f>
        <v>198144.9</v>
      </c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</sheetData>
  <conditionalFormatting sqref="C31">
    <cfRule type="notContainsBlanks" dxfId="0" priority="1">
      <formula>LEN(TRIM(C31))&gt;0</formula>
    </cfRule>
  </conditionalFormatting>
  <dataValidations>
    <dataValidation type="list" allowBlank="1" showErrorMessage="1" sqref="C2:C38">
      <formula1>'Refernce Sheet'!$A$2:$A$49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 t="s">
        <v>0</v>
      </c>
      <c r="B1" s="1" t="s">
        <v>1</v>
      </c>
      <c r="C1" s="1" t="s">
        <v>2</v>
      </c>
      <c r="E1" s="8">
        <v>198144.90000000002</v>
      </c>
    </row>
    <row r="2">
      <c r="A2" s="2" t="str">
        <f>vlookup(C2,'Refernce Sheet'!A:B,2,FALSE)</f>
        <v>KG3</v>
      </c>
      <c r="C2" s="1" t="s">
        <v>14</v>
      </c>
      <c r="E2" s="1">
        <v>2600.0</v>
      </c>
    </row>
    <row r="3">
      <c r="A3" s="2" t="str">
        <f>vlookup(C3,'Refernce Sheet'!A:B,2,FALSE)</f>
        <v>KS2</v>
      </c>
      <c r="C3" s="1" t="s">
        <v>67</v>
      </c>
      <c r="E3" s="1">
        <v>2600.0</v>
      </c>
    </row>
    <row r="4">
      <c r="A4" s="2" t="str">
        <f>vlookup(C4,'Refernce Sheet'!A:B,2,FALSE)</f>
        <v>KG4</v>
      </c>
      <c r="C4" s="1" t="s">
        <v>12</v>
      </c>
      <c r="E4" s="1">
        <v>2600.0</v>
      </c>
    </row>
    <row r="5">
      <c r="A5" s="2" t="str">
        <f>vlookup(C5,'Refernce Sheet'!A:B,2,FALSE)</f>
        <v>RG1</v>
      </c>
      <c r="C5" s="1" t="s">
        <v>10</v>
      </c>
      <c r="E5" s="1">
        <v>2600.0</v>
      </c>
    </row>
    <row r="6">
      <c r="A6" s="2" t="str">
        <f>vlookup(C6,'Refernce Sheet'!A:B,2,FALSE)</f>
        <v>KS4</v>
      </c>
      <c r="C6" s="1" t="s">
        <v>63</v>
      </c>
      <c r="E6" s="1">
        <v>5200.0</v>
      </c>
    </row>
    <row r="7">
      <c r="A7" s="2" t="str">
        <f>vlookup(C7,'Refernce Sheet'!A:B,2,FALSE)</f>
        <v>RG2</v>
      </c>
      <c r="C7" s="1" t="s">
        <v>26</v>
      </c>
      <c r="E7" s="1">
        <v>2600.0</v>
      </c>
    </row>
    <row r="8">
      <c r="A8" s="2" t="str">
        <f>vlookup(C8,'Refernce Sheet'!A:B,2,FALSE)</f>
        <v>KF2</v>
      </c>
      <c r="C8" s="1" t="s">
        <v>18</v>
      </c>
      <c r="E8" s="1">
        <v>2600.0</v>
      </c>
    </row>
    <row r="9">
      <c r="A9" s="2" t="str">
        <f>vlookup(C9,'Refernce Sheet'!A:B,2,FALSE)</f>
        <v>KF3</v>
      </c>
      <c r="C9" s="1" t="s">
        <v>24</v>
      </c>
      <c r="E9" s="1">
        <v>2600.0</v>
      </c>
    </row>
    <row r="10">
      <c r="A10" s="2" t="str">
        <f>vlookup(C10,'Refernce Sheet'!A:B,2,FALSE)</f>
        <v>#N/A</v>
      </c>
      <c r="C10" s="1" t="s">
        <v>22</v>
      </c>
      <c r="E10" s="1">
        <v>2600.0</v>
      </c>
    </row>
    <row r="11">
      <c r="A11" s="2" t="str">
        <f>vlookup(C11,'Refernce Sheet'!A:B,2,FALSE)</f>
        <v>KG2</v>
      </c>
      <c r="C11" s="1" t="s">
        <v>40</v>
      </c>
      <c r="E11" s="1">
        <v>2600.0</v>
      </c>
    </row>
    <row r="12">
      <c r="A12" s="2" t="str">
        <f>vlookup(C12,'Refernce Sheet'!A:B,2,FALSE)</f>
        <v>VG1</v>
      </c>
      <c r="C12" s="1" t="s">
        <v>52</v>
      </c>
      <c r="E12" s="1">
        <v>2600.0</v>
      </c>
    </row>
    <row r="13">
      <c r="A13" s="2" t="str">
        <f>vlookup(C13,'Refernce Sheet'!A:B,2,FALSE)</f>
        <v>KS1</v>
      </c>
      <c r="C13" s="1" t="s">
        <v>20</v>
      </c>
      <c r="E13" s="1">
        <v>2600.0</v>
      </c>
    </row>
    <row r="14">
      <c r="A14" s="2" t="str">
        <f>vlookup(C14,'Refernce Sheet'!A:B,2,FALSE)</f>
        <v>VF1</v>
      </c>
      <c r="C14" s="1" t="s">
        <v>62</v>
      </c>
      <c r="E14" s="1">
        <v>2600.0</v>
      </c>
    </row>
    <row r="15">
      <c r="A15" s="2" t="str">
        <f>vlookup(C15,'Refernce Sheet'!A:B,2,FALSE)</f>
        <v>VS2</v>
      </c>
      <c r="C15" s="1" t="s">
        <v>44</v>
      </c>
      <c r="E15" s="1">
        <v>2600.0</v>
      </c>
    </row>
    <row r="16">
      <c r="A16" s="2" t="str">
        <f>vlookup(C16,'Refernce Sheet'!A:B,2,FALSE)</f>
        <v>Maintenance</v>
      </c>
      <c r="B16" s="4">
        <v>45783.0</v>
      </c>
      <c r="C16" s="1" t="s">
        <v>45</v>
      </c>
      <c r="D16" s="1">
        <v>15000.0</v>
      </c>
    </row>
    <row r="17">
      <c r="A17" s="2" t="str">
        <f>vlookup(C17,'Refernce Sheet'!A:B,2,FALSE)</f>
        <v>RF2</v>
      </c>
      <c r="C17" s="1" t="s">
        <v>34</v>
      </c>
      <c r="E17" s="1">
        <v>2600.0</v>
      </c>
    </row>
    <row r="18">
      <c r="A18" s="2" t="str">
        <f>vlookup(C18,'Refernce Sheet'!A:B,2,FALSE)</f>
        <v>RS2</v>
      </c>
      <c r="B18" s="4"/>
      <c r="C18" s="1" t="s">
        <v>16</v>
      </c>
      <c r="E18" s="1">
        <v>2600.0</v>
      </c>
    </row>
    <row r="19">
      <c r="A19" s="2" t="str">
        <f>vlookup(C19,'Refernce Sheet'!A:B,2,FALSE)</f>
        <v>Security</v>
      </c>
      <c r="B19" s="4">
        <v>45785.0</v>
      </c>
      <c r="C19" s="1" t="s">
        <v>66</v>
      </c>
      <c r="D19" s="1">
        <v>29000.0</v>
      </c>
    </row>
    <row r="20">
      <c r="A20" s="2" t="str">
        <f>vlookup(C20,'Refernce Sheet'!A:B,2,FALSE)</f>
        <v>RF3</v>
      </c>
      <c r="B20" s="4"/>
      <c r="C20" s="1" t="s">
        <v>50</v>
      </c>
      <c r="E20" s="1">
        <v>2600.0</v>
      </c>
    </row>
    <row r="21">
      <c r="A21" s="2" t="str">
        <f>vlookup(C21,'Refernce Sheet'!A:B,2,FALSE)</f>
        <v>RG3</v>
      </c>
      <c r="B21" s="4"/>
      <c r="C21" s="1" t="s">
        <v>42</v>
      </c>
      <c r="E21" s="1">
        <v>2600.0</v>
      </c>
    </row>
    <row r="22">
      <c r="A22" s="2" t="str">
        <f>vlookup(C22,'Refernce Sheet'!A:B,2,FALSE)</f>
        <v>VF3</v>
      </c>
      <c r="B22" s="4"/>
      <c r="C22" s="1" t="s">
        <v>38</v>
      </c>
      <c r="E22" s="1">
        <v>2600.0</v>
      </c>
    </row>
    <row r="23">
      <c r="A23" s="2" t="str">
        <f>vlookup(C23,'Refernce Sheet'!A:B,2,FALSE)</f>
        <v>VS3</v>
      </c>
      <c r="B23" s="4"/>
      <c r="C23" s="1" t="s">
        <v>47</v>
      </c>
      <c r="E23" s="1">
        <v>2600.0</v>
      </c>
    </row>
    <row r="24">
      <c r="A24" s="2" t="str">
        <f>vlookup(C24,'Refernce Sheet'!A:B,2,FALSE)</f>
        <v>BESCOM</v>
      </c>
      <c r="B24" s="1" t="s">
        <v>83</v>
      </c>
      <c r="C24" s="1" t="s">
        <v>69</v>
      </c>
      <c r="D24" s="1">
        <v>2574.0</v>
      </c>
    </row>
    <row r="25">
      <c r="A25" s="2" t="str">
        <f>vlookup(C25,'Refernce Sheet'!A:B,2,FALSE)</f>
        <v>BESCOM</v>
      </c>
      <c r="B25" s="1" t="s">
        <v>83</v>
      </c>
      <c r="C25" s="1" t="s">
        <v>69</v>
      </c>
      <c r="D25" s="1">
        <v>2568.0</v>
      </c>
    </row>
    <row r="26">
      <c r="A26" s="2" t="str">
        <f>vlookup(C26,'Refernce Sheet'!A:B,2,FALSE)</f>
        <v>BESCOM</v>
      </c>
      <c r="B26" s="1" t="s">
        <v>83</v>
      </c>
      <c r="C26" s="1" t="s">
        <v>69</v>
      </c>
      <c r="D26" s="1">
        <v>6366.0</v>
      </c>
    </row>
    <row r="27">
      <c r="A27" s="2" t="str">
        <f>vlookup(C27,'Refernce Sheet'!A:B,2,FALSE)</f>
        <v>BWSSB</v>
      </c>
      <c r="B27" s="1" t="s">
        <v>84</v>
      </c>
      <c r="C27" s="1" t="s">
        <v>53</v>
      </c>
      <c r="D27" s="1">
        <v>9950.0</v>
      </c>
    </row>
    <row r="28">
      <c r="A28" s="2" t="str">
        <f>vlookup(C28,'Refernce Sheet'!A:B,2,FALSE)</f>
        <v>#N/A</v>
      </c>
      <c r="B28" s="4"/>
      <c r="C28" s="3"/>
    </row>
    <row r="29">
      <c r="A29" s="2" t="str">
        <f>vlookup(C29,'Refernce Sheet'!A:B,2,FALSE)</f>
        <v>#N/A</v>
      </c>
      <c r="B29" s="4"/>
      <c r="C29" s="3"/>
    </row>
    <row r="30">
      <c r="A30" s="2" t="str">
        <f>vlookup(C30,'Refernce Sheet'!A:B,2,FALSE)</f>
        <v>#N/A</v>
      </c>
      <c r="B30" s="4"/>
      <c r="C30" s="3"/>
    </row>
    <row r="31">
      <c r="A31" s="2" t="str">
        <f>vlookup(C31,'Refernce Sheet'!A:B,2,FALSE)</f>
        <v>#N/A</v>
      </c>
      <c r="B31" s="4"/>
      <c r="C31" s="3"/>
    </row>
    <row r="32">
      <c r="A32" s="2" t="str">
        <f>vlookup(C32,'Refernce Sheet'!A:B,2,FALSE)</f>
        <v>#N/A</v>
      </c>
      <c r="B32" s="4"/>
      <c r="C32" s="3"/>
    </row>
    <row r="33">
      <c r="A33" s="2" t="str">
        <f>vlookup(C33,'Refernce Sheet'!A:B,2,FALSE)</f>
        <v>#N/A</v>
      </c>
      <c r="C33" s="3"/>
    </row>
    <row r="34">
      <c r="A34" s="2" t="str">
        <f>vlookup(C34,'Refernce Sheet'!A:B,2,FALSE)</f>
        <v>#N/A</v>
      </c>
      <c r="C34" s="3"/>
    </row>
    <row r="36">
      <c r="D36" s="3">
        <f t="shared" ref="D36:E36" si="1">SUM(D2:D34)</f>
        <v>65458</v>
      </c>
      <c r="E36" s="3">
        <f t="shared" si="1"/>
        <v>54600</v>
      </c>
      <c r="F36" s="8">
        <f>E36+E1-D36</f>
        <v>187286.9</v>
      </c>
    </row>
  </sheetData>
  <conditionalFormatting sqref="C31">
    <cfRule type="notContainsBlanks" dxfId="0" priority="1">
      <formula>LEN(TRIM(C31))&gt;0</formula>
    </cfRule>
  </conditionalFormatting>
  <dataValidations>
    <dataValidation type="list" allowBlank="1" showErrorMessage="1" sqref="C2:C34">
      <formula1>'Refernce Sheet'!$A$2:$A$42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 t="s">
        <v>0</v>
      </c>
      <c r="B1" s="1" t="s">
        <v>1</v>
      </c>
      <c r="C1" s="1" t="s">
        <v>2</v>
      </c>
      <c r="E1" s="8">
        <v>187286.90000000002</v>
      </c>
    </row>
    <row r="2">
      <c r="A2" s="2" t="str">
        <f>vlookup(C2,'Refernce Sheet'!A:B,2,FALSE)</f>
        <v>KG3</v>
      </c>
      <c r="C2" s="1" t="s">
        <v>14</v>
      </c>
      <c r="E2" s="1">
        <v>2600.0</v>
      </c>
    </row>
    <row r="3">
      <c r="A3" s="2" t="str">
        <f>vlookup(C3,'Refernce Sheet'!A:B,2,FALSE)</f>
        <v>RS2</v>
      </c>
      <c r="C3" s="1" t="s">
        <v>16</v>
      </c>
      <c r="E3" s="1">
        <v>2600.0</v>
      </c>
    </row>
    <row r="4">
      <c r="A4" s="2" t="str">
        <f>vlookup(C4,'Refernce Sheet'!A:B,2,FALSE)</f>
        <v>RG2</v>
      </c>
      <c r="C4" s="1" t="s">
        <v>26</v>
      </c>
      <c r="E4" s="1">
        <v>2600.0</v>
      </c>
    </row>
    <row r="5">
      <c r="A5" s="2" t="str">
        <f>vlookup(C5,'Refernce Sheet'!A:B,2,FALSE)</f>
        <v>KS2</v>
      </c>
      <c r="C5" s="1" t="s">
        <v>67</v>
      </c>
      <c r="E5" s="1">
        <v>2600.0</v>
      </c>
    </row>
    <row r="6">
      <c r="A6" s="2" t="str">
        <f>vlookup(C6,'Refernce Sheet'!A:B,2,FALSE)</f>
        <v>KF1</v>
      </c>
      <c r="C6" s="1" t="s">
        <v>58</v>
      </c>
      <c r="E6" s="1">
        <v>5200.0</v>
      </c>
    </row>
    <row r="7">
      <c r="A7" s="2" t="str">
        <f>vlookup(C7,'Refernce Sheet'!A:B,2,FALSE)</f>
        <v>Bank</v>
      </c>
      <c r="C7" s="1" t="s">
        <v>73</v>
      </c>
      <c r="E7" s="1">
        <v>1302.0</v>
      </c>
      <c r="H7" s="3">
        <f>E36-E7</f>
        <v>52000</v>
      </c>
    </row>
    <row r="8">
      <c r="A8" s="2" t="str">
        <f>vlookup(C8,'Refernce Sheet'!A:B,2,FALSE)</f>
        <v>KG4</v>
      </c>
      <c r="C8" s="1" t="s">
        <v>12</v>
      </c>
      <c r="E8" s="1">
        <v>2600.0</v>
      </c>
    </row>
    <row r="9">
      <c r="A9" s="2" t="str">
        <f>vlookup(C9,'Refernce Sheet'!A:B,2,FALSE)</f>
        <v>KF2</v>
      </c>
      <c r="C9" s="1" t="s">
        <v>18</v>
      </c>
      <c r="E9" s="1">
        <v>2600.0</v>
      </c>
    </row>
    <row r="10">
      <c r="A10" s="2" t="str">
        <f>vlookup(C10,'Refernce Sheet'!A:B,2,FALSE)</f>
        <v>KF3</v>
      </c>
      <c r="C10" s="1" t="s">
        <v>24</v>
      </c>
      <c r="E10" s="1">
        <v>2600.0</v>
      </c>
    </row>
    <row r="11">
      <c r="A11" s="2" t="str">
        <f>vlookup(C11,'Refernce Sheet'!A:B,2,FALSE)</f>
        <v>RG1</v>
      </c>
      <c r="C11" s="1" t="s">
        <v>10</v>
      </c>
      <c r="E11" s="1">
        <v>2600.0</v>
      </c>
    </row>
    <row r="12">
      <c r="A12" s="2" t="str">
        <f>vlookup(C12,'Refernce Sheet'!A:B,2,FALSE)</f>
        <v>VF1</v>
      </c>
      <c r="C12" s="1" t="s">
        <v>62</v>
      </c>
      <c r="E12" s="1">
        <v>2600.0</v>
      </c>
    </row>
    <row r="13">
      <c r="A13" s="2" t="str">
        <f>vlookup(C13,'Refernce Sheet'!A:B,2,FALSE)</f>
        <v>KG2</v>
      </c>
      <c r="C13" s="1" t="s">
        <v>40</v>
      </c>
      <c r="E13" s="1">
        <v>2600.0</v>
      </c>
    </row>
    <row r="14">
      <c r="A14" s="2" t="str">
        <f>vlookup(C14,'Refernce Sheet'!A:B,2,FALSE)</f>
        <v>VF3</v>
      </c>
      <c r="C14" s="1" t="s">
        <v>38</v>
      </c>
      <c r="E14" s="1">
        <v>2600.0</v>
      </c>
    </row>
    <row r="15">
      <c r="A15" s="2" t="str">
        <f>vlookup(C15,'Refernce Sheet'!A:B,2,FALSE)</f>
        <v>VS2</v>
      </c>
      <c r="C15" s="1" t="s">
        <v>44</v>
      </c>
      <c r="E15" s="1">
        <v>2600.0</v>
      </c>
    </row>
    <row r="16">
      <c r="A16" s="2" t="str">
        <f>vlookup(C16,'Refernce Sheet'!A:B,2,FALSE)</f>
        <v>VF2</v>
      </c>
      <c r="C16" s="1" t="s">
        <v>28</v>
      </c>
      <c r="E16" s="1">
        <v>2600.0</v>
      </c>
    </row>
    <row r="17">
      <c r="A17" s="2" t="str">
        <f>vlookup(C17,'Refernce Sheet'!A:B,2,FALSE)</f>
        <v>KS1</v>
      </c>
      <c r="C17" s="1" t="s">
        <v>20</v>
      </c>
      <c r="E17" s="1">
        <v>2600.0</v>
      </c>
    </row>
    <row r="18">
      <c r="A18" s="2" t="str">
        <f>vlookup(C18,'Refernce Sheet'!A:B,2,FALSE)</f>
        <v>Maintenance</v>
      </c>
      <c r="B18" s="4">
        <v>45814.0</v>
      </c>
      <c r="C18" s="1" t="s">
        <v>45</v>
      </c>
      <c r="D18" s="1">
        <v>15000.0</v>
      </c>
    </row>
    <row r="19">
      <c r="A19" s="2" t="str">
        <f>vlookup(C19,'Refernce Sheet'!A:B,2,FALSE)</f>
        <v>RF2</v>
      </c>
      <c r="B19" s="4"/>
      <c r="C19" s="1" t="s">
        <v>34</v>
      </c>
      <c r="E19" s="1">
        <v>2600.0</v>
      </c>
    </row>
    <row r="20">
      <c r="A20" s="2" t="str">
        <f>vlookup(C20,'Refernce Sheet'!A:B,2,FALSE)</f>
        <v>RF3</v>
      </c>
      <c r="C20" s="1" t="s">
        <v>50</v>
      </c>
      <c r="E20" s="1">
        <v>2600.0</v>
      </c>
    </row>
    <row r="21">
      <c r="A21" s="2" t="str">
        <f>vlookup(C21,'Refernce Sheet'!A:B,2,FALSE)</f>
        <v>VS3</v>
      </c>
      <c r="C21" s="1" t="s">
        <v>47</v>
      </c>
      <c r="E21" s="1">
        <v>2600.0</v>
      </c>
    </row>
    <row r="22">
      <c r="A22" s="2" t="str">
        <f>vlookup(C22,'Refernce Sheet'!A:B,2,FALSE)</f>
        <v>Security</v>
      </c>
      <c r="B22" s="9">
        <v>45967.0</v>
      </c>
      <c r="C22" s="1" t="s">
        <v>66</v>
      </c>
      <c r="D22" s="1">
        <v>29000.0</v>
      </c>
    </row>
    <row r="23">
      <c r="A23" s="2" t="str">
        <f>vlookup(C23,'Refernce Sheet'!A:B,2,FALSE)</f>
        <v>BESCOM</v>
      </c>
      <c r="B23" s="4">
        <v>45825.0</v>
      </c>
      <c r="C23" s="1" t="s">
        <v>69</v>
      </c>
      <c r="D23" s="1">
        <v>2285.0</v>
      </c>
    </row>
    <row r="24">
      <c r="A24" s="2" t="str">
        <f>vlookup(C24,'Refernce Sheet'!A:B,2,FALSE)</f>
        <v>BESCOM</v>
      </c>
      <c r="B24" s="4">
        <v>45825.0</v>
      </c>
      <c r="C24" s="1" t="s">
        <v>69</v>
      </c>
      <c r="D24" s="1">
        <v>2335.0</v>
      </c>
    </row>
    <row r="25">
      <c r="A25" s="2" t="str">
        <f>vlookup(C25,'Refernce Sheet'!A:B,2,FALSE)</f>
        <v>BESCOM</v>
      </c>
      <c r="B25" s="4">
        <v>45825.0</v>
      </c>
      <c r="C25" s="1" t="s">
        <v>69</v>
      </c>
      <c r="D25" s="1">
        <v>5006.0</v>
      </c>
    </row>
    <row r="26">
      <c r="A26" s="2" t="str">
        <f>vlookup(C26,'Refernce Sheet'!A:B,2,FALSE)</f>
        <v>BWSSB</v>
      </c>
      <c r="B26" s="4">
        <v>45827.0</v>
      </c>
      <c r="C26" s="1" t="s">
        <v>53</v>
      </c>
      <c r="D26" s="1">
        <v>10250.0</v>
      </c>
    </row>
    <row r="27">
      <c r="A27" s="2" t="str">
        <f>vlookup(C27,'Refernce Sheet'!A:B,2,FALSE)</f>
        <v>RG3</v>
      </c>
      <c r="C27" s="1" t="s">
        <v>42</v>
      </c>
      <c r="E27" s="1">
        <v>2600.0</v>
      </c>
    </row>
    <row r="28">
      <c r="A28" s="2" t="str">
        <f>vlookup(C28,'Refernce Sheet'!A:B,2,FALSE)</f>
        <v>#N/A</v>
      </c>
      <c r="C28" s="3"/>
    </row>
    <row r="29">
      <c r="A29" s="2" t="str">
        <f>vlookup(C29,'Refernce Sheet'!A:B,2,FALSE)</f>
        <v>#N/A</v>
      </c>
      <c r="C29" s="3"/>
    </row>
    <row r="30">
      <c r="A30" s="2" t="str">
        <f>vlookup(C30,'Refernce Sheet'!A:B,2,FALSE)</f>
        <v>#N/A</v>
      </c>
      <c r="C30" s="3"/>
    </row>
    <row r="31">
      <c r="A31" s="2" t="str">
        <f>vlookup(C31,'Refernce Sheet'!A:B,2,FALSE)</f>
        <v>#N/A</v>
      </c>
      <c r="C31" s="3"/>
    </row>
    <row r="32">
      <c r="A32" s="2" t="str">
        <f>vlookup(C32,'Refernce Sheet'!A:B,2,FALSE)</f>
        <v>#N/A</v>
      </c>
      <c r="C32" s="3"/>
    </row>
    <row r="33">
      <c r="A33" s="2" t="str">
        <f>vlookup(C33,'Refernce Sheet'!A:B,2,FALSE)</f>
        <v>#N/A</v>
      </c>
      <c r="C33" s="3"/>
    </row>
    <row r="34">
      <c r="A34" s="2" t="str">
        <f>vlookup(C34,'Refernce Sheet'!A:B,2,FALSE)</f>
        <v>#N/A</v>
      </c>
      <c r="C34" s="3"/>
    </row>
    <row r="36">
      <c r="D36" s="3">
        <f t="shared" ref="D36:E36" si="1">SUM(D2:D34)</f>
        <v>63876</v>
      </c>
      <c r="E36" s="3">
        <f t="shared" si="1"/>
        <v>53302</v>
      </c>
      <c r="F36" s="8">
        <f>E36+E1-D36</f>
        <v>176712.9</v>
      </c>
    </row>
  </sheetData>
  <conditionalFormatting sqref="C31">
    <cfRule type="notContainsBlanks" dxfId="0" priority="1">
      <formula>LEN(TRIM(C31))&gt;0</formula>
    </cfRule>
  </conditionalFormatting>
  <dataValidations>
    <dataValidation type="list" allowBlank="1" showErrorMessage="1" sqref="C2:C34">
      <formula1>'Refernce Sheet'!$A$2:$A$42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 t="s">
        <v>0</v>
      </c>
      <c r="B1" s="1" t="s">
        <v>1</v>
      </c>
      <c r="C1" s="1" t="s">
        <v>2</v>
      </c>
      <c r="E1" s="8">
        <v>176712.90000000002</v>
      </c>
    </row>
    <row r="2">
      <c r="A2" s="2" t="str">
        <f>vlookup(C2,'Refernce Sheet'!A:B,2,FALSE)</f>
        <v>KG3</v>
      </c>
      <c r="C2" s="1" t="s">
        <v>14</v>
      </c>
      <c r="E2" s="1">
        <v>2600.0</v>
      </c>
    </row>
    <row r="3">
      <c r="A3" s="2" t="str">
        <f>vlookup(C3,'Refernce Sheet'!A:B,2,FALSE)</f>
        <v>RS2</v>
      </c>
      <c r="C3" s="1" t="s">
        <v>16</v>
      </c>
      <c r="E3" s="1">
        <v>2600.0</v>
      </c>
    </row>
    <row r="4">
      <c r="A4" s="2" t="str">
        <f>vlookup(C4,'Refernce Sheet'!A:B,2,FALSE)</f>
        <v>KF1</v>
      </c>
      <c r="C4" s="1" t="s">
        <v>58</v>
      </c>
      <c r="E4" s="1">
        <v>2600.0</v>
      </c>
    </row>
    <row r="5">
      <c r="A5" s="2" t="str">
        <f>vlookup(C5,'Refernce Sheet'!A:B,2,FALSE)</f>
        <v>VG3</v>
      </c>
      <c r="C5" s="1" t="s">
        <v>8</v>
      </c>
      <c r="E5" s="1">
        <v>7800.0</v>
      </c>
    </row>
    <row r="6">
      <c r="A6" s="2" t="str">
        <f>vlookup(C6,'Refernce Sheet'!A:B,2,FALSE)</f>
        <v>KS2</v>
      </c>
      <c r="C6" s="1" t="s">
        <v>67</v>
      </c>
      <c r="E6" s="1">
        <v>2600.0</v>
      </c>
    </row>
    <row r="7">
      <c r="A7" s="2" t="str">
        <f>vlookup(C7,'Refernce Sheet'!A:B,2,FALSE)</f>
        <v>RS3</v>
      </c>
      <c r="C7" s="1" t="s">
        <v>32</v>
      </c>
      <c r="E7" s="1">
        <v>5200.0</v>
      </c>
    </row>
    <row r="8">
      <c r="A8" s="2" t="str">
        <f>vlookup(C8,'Refernce Sheet'!A:B,2,FALSE)</f>
        <v>VG2</v>
      </c>
      <c r="C8" s="1" t="s">
        <v>56</v>
      </c>
      <c r="E8" s="1">
        <v>7800.0</v>
      </c>
    </row>
    <row r="9">
      <c r="A9" s="2" t="str">
        <f>vlookup(C9,'Refernce Sheet'!A:B,2,FALSE)</f>
        <v>KG4</v>
      </c>
      <c r="C9" s="1" t="s">
        <v>12</v>
      </c>
      <c r="E9" s="1">
        <v>2600.0</v>
      </c>
    </row>
    <row r="10">
      <c r="A10" s="2" t="str">
        <f>vlookup(C10,'Refernce Sheet'!A:B,2,FALSE)</f>
        <v>#N/A</v>
      </c>
      <c r="C10" s="1" t="s">
        <v>22</v>
      </c>
      <c r="E10" s="1">
        <v>2600.0</v>
      </c>
    </row>
    <row r="11">
      <c r="A11" s="2" t="str">
        <f>vlookup(C11,'Refernce Sheet'!A:B,2,FALSE)</f>
        <v>KF2</v>
      </c>
      <c r="C11" s="1" t="s">
        <v>18</v>
      </c>
      <c r="E11" s="1">
        <v>2600.0</v>
      </c>
    </row>
    <row r="12">
      <c r="A12" s="2" t="str">
        <f>vlookup(C12,'Refernce Sheet'!A:B,2,FALSE)</f>
        <v>KF3</v>
      </c>
      <c r="C12" s="1" t="s">
        <v>24</v>
      </c>
      <c r="E12" s="1">
        <v>2600.0</v>
      </c>
    </row>
    <row r="13">
      <c r="A13" s="2" t="str">
        <f>vlookup(C13,'Refernce Sheet'!A:B,2,FALSE)</f>
        <v>KS1</v>
      </c>
      <c r="C13" s="1" t="s">
        <v>20</v>
      </c>
      <c r="E13" s="1">
        <v>2600.0</v>
      </c>
    </row>
    <row r="14">
      <c r="A14" s="2" t="str">
        <f>vlookup(C14,'Refernce Sheet'!A:B,2,FALSE)</f>
        <v>VF2</v>
      </c>
      <c r="C14" s="1" t="s">
        <v>28</v>
      </c>
      <c r="E14" s="1">
        <v>2600.0</v>
      </c>
    </row>
    <row r="15">
      <c r="A15" s="2" t="str">
        <f>vlookup(C15,'Refernce Sheet'!A:B,2,FALSE)</f>
        <v>RG1</v>
      </c>
      <c r="C15" s="1" t="s">
        <v>10</v>
      </c>
      <c r="E15" s="1">
        <v>2600.0</v>
      </c>
    </row>
    <row r="16">
      <c r="A16" s="2" t="str">
        <f>vlookup(C16,'Refernce Sheet'!A:B,2,FALSE)</f>
        <v>RG2</v>
      </c>
      <c r="C16" s="1" t="s">
        <v>26</v>
      </c>
      <c r="E16" s="1">
        <v>2600.0</v>
      </c>
    </row>
    <row r="17">
      <c r="A17" s="2" t="str">
        <f>vlookup(C17,'Refernce Sheet'!A:B,2,FALSE)</f>
        <v>RS1</v>
      </c>
      <c r="C17" s="1" t="s">
        <v>85</v>
      </c>
      <c r="E17" s="1">
        <v>31200.0</v>
      </c>
    </row>
    <row r="18">
      <c r="A18" s="2" t="str">
        <f>vlookup(C18,'Refernce Sheet'!A:B,2,FALSE)</f>
        <v>VG1</v>
      </c>
      <c r="B18" s="4"/>
      <c r="C18" s="1" t="s">
        <v>52</v>
      </c>
      <c r="E18" s="1">
        <v>5200.0</v>
      </c>
    </row>
    <row r="19">
      <c r="A19" s="2" t="str">
        <f>vlookup(C19,'Refernce Sheet'!A:B,2,FALSE)</f>
        <v>VF2</v>
      </c>
      <c r="B19" s="4"/>
      <c r="C19" s="1" t="s">
        <v>28</v>
      </c>
      <c r="E19" s="1">
        <v>2600.0</v>
      </c>
    </row>
    <row r="20">
      <c r="A20" s="2" t="str">
        <f>vlookup(C20,'Refernce Sheet'!A:B,2,FALSE)</f>
        <v>#N/A</v>
      </c>
      <c r="C20" s="1" t="s">
        <v>22</v>
      </c>
      <c r="E20" s="1">
        <v>2600.0</v>
      </c>
    </row>
    <row r="21">
      <c r="A21" s="2" t="str">
        <f>vlookup(C21,'Refernce Sheet'!A:B,2,FALSE)</f>
        <v>VF1</v>
      </c>
      <c r="C21" s="1" t="s">
        <v>62</v>
      </c>
      <c r="E21" s="1">
        <v>2600.0</v>
      </c>
    </row>
    <row r="22">
      <c r="A22" s="2" t="str">
        <f>vlookup(C22,'Refernce Sheet'!A:B,2,FALSE)</f>
        <v>KS4</v>
      </c>
      <c r="B22" s="9"/>
      <c r="C22" s="1" t="s">
        <v>63</v>
      </c>
      <c r="E22" s="1">
        <v>7800.0</v>
      </c>
    </row>
    <row r="23">
      <c r="A23" s="2" t="str">
        <f>vlookup(C23,'Refernce Sheet'!A:B,2,FALSE)</f>
        <v>RG3</v>
      </c>
      <c r="B23" s="4"/>
      <c r="C23" s="1" t="s">
        <v>42</v>
      </c>
      <c r="E23" s="1">
        <v>2600.0</v>
      </c>
    </row>
    <row r="24">
      <c r="A24" s="2" t="str">
        <f>vlookup(C24,'Refernce Sheet'!A:B,2,FALSE)</f>
        <v>RF2</v>
      </c>
      <c r="B24" s="4"/>
      <c r="C24" s="1" t="s">
        <v>34</v>
      </c>
      <c r="E24" s="1">
        <v>2600.0</v>
      </c>
    </row>
    <row r="25">
      <c r="A25" s="2" t="str">
        <f>vlookup(C25,'Refernce Sheet'!A:B,2,FALSE)</f>
        <v>KG2</v>
      </c>
      <c r="B25" s="4"/>
      <c r="C25" s="1" t="s">
        <v>40</v>
      </c>
      <c r="E25" s="1">
        <v>2600.0</v>
      </c>
    </row>
    <row r="26">
      <c r="A26" s="2" t="str">
        <f>vlookup(C26,'Refernce Sheet'!A:B,2,FALSE)</f>
        <v>VS2</v>
      </c>
      <c r="B26" s="4"/>
      <c r="C26" s="1" t="s">
        <v>44</v>
      </c>
      <c r="E26" s="1">
        <v>2600.0</v>
      </c>
    </row>
    <row r="27">
      <c r="A27" s="2" t="str">
        <f>vlookup(C27,'Refernce Sheet'!A:B,2,FALSE)</f>
        <v>RS3</v>
      </c>
      <c r="C27" s="1" t="s">
        <v>32</v>
      </c>
      <c r="E27" s="1">
        <v>2600.0</v>
      </c>
    </row>
    <row r="28">
      <c r="A28" s="2" t="str">
        <f>vlookup(C28,'Refernce Sheet'!A:B,2,FALSE)</f>
        <v>RF3</v>
      </c>
      <c r="C28" s="1" t="s">
        <v>50</v>
      </c>
      <c r="E28" s="1">
        <v>2600.0</v>
      </c>
    </row>
    <row r="29">
      <c r="A29" s="2" t="str">
        <f>vlookup(C29,'Refernce Sheet'!A:B,2,FALSE)</f>
        <v>VS3</v>
      </c>
      <c r="C29" s="1" t="s">
        <v>47</v>
      </c>
      <c r="E29" s="1">
        <v>2600.0</v>
      </c>
    </row>
    <row r="30">
      <c r="A30" s="2" t="str">
        <f>vlookup(C30,'Refernce Sheet'!A:B,2,FALSE)</f>
        <v>Security</v>
      </c>
      <c r="B30" s="10">
        <v>45937.0</v>
      </c>
      <c r="C30" s="1" t="s">
        <v>66</v>
      </c>
      <c r="D30" s="1">
        <v>29000.0</v>
      </c>
    </row>
    <row r="31">
      <c r="A31" s="2" t="str">
        <f>vlookup(C31,'Refernce Sheet'!A:B,2,FALSE)</f>
        <v>Maintenance</v>
      </c>
      <c r="B31" s="11">
        <v>45968.0</v>
      </c>
      <c r="C31" s="1" t="s">
        <v>45</v>
      </c>
      <c r="D31" s="1">
        <v>15000.0</v>
      </c>
    </row>
    <row r="32">
      <c r="A32" s="2" t="str">
        <f>vlookup(C32,'Refernce Sheet'!A:B,2,FALSE)</f>
        <v>BESCOM</v>
      </c>
      <c r="B32" s="1" t="s">
        <v>86</v>
      </c>
      <c r="C32" s="1" t="s">
        <v>69</v>
      </c>
      <c r="D32" s="1">
        <v>5642.0</v>
      </c>
    </row>
    <row r="33">
      <c r="A33" s="2" t="str">
        <f>vlookup(C33,'Refernce Sheet'!A:B,2,FALSE)</f>
        <v>BESCOM</v>
      </c>
      <c r="B33" s="1" t="s">
        <v>86</v>
      </c>
      <c r="C33" s="1" t="s">
        <v>69</v>
      </c>
      <c r="D33" s="1">
        <v>2481.0</v>
      </c>
    </row>
    <row r="34">
      <c r="A34" s="2" t="str">
        <f>vlookup(C34,'Refernce Sheet'!A:B,2,FALSE)</f>
        <v>BESCOM</v>
      </c>
      <c r="B34" s="1" t="s">
        <v>86</v>
      </c>
      <c r="C34" s="1" t="s">
        <v>69</v>
      </c>
      <c r="D34" s="1">
        <v>2460.0</v>
      </c>
    </row>
    <row r="35">
      <c r="A35" s="2" t="str">
        <f>vlookup(C35,'Refernce Sheet'!A:B,2,FALSE)</f>
        <v>KS3</v>
      </c>
      <c r="C35" s="1" t="s">
        <v>60</v>
      </c>
      <c r="E35" s="1">
        <v>7800.0</v>
      </c>
    </row>
    <row r="36">
      <c r="A36" s="2" t="str">
        <f>vlookup(C36,'Refernce Sheet'!A:B,2,FALSE)</f>
        <v>BWSSB</v>
      </c>
      <c r="B36" s="1" t="s">
        <v>87</v>
      </c>
      <c r="C36" s="1" t="s">
        <v>53</v>
      </c>
      <c r="D36" s="1">
        <v>10625.0</v>
      </c>
    </row>
    <row r="37">
      <c r="A37" s="2" t="str">
        <f>vlookup(C37,'Refernce Sheet'!A:B,2,FALSE)</f>
        <v>Cash</v>
      </c>
      <c r="B37" s="1" t="s">
        <v>88</v>
      </c>
      <c r="C37" s="1" t="s">
        <v>71</v>
      </c>
      <c r="D37" s="1">
        <v>20000.0</v>
      </c>
    </row>
    <row r="38">
      <c r="A38" s="2" t="str">
        <f>vlookup(C38,'Refernce Sheet'!A:B,2,FALSE)</f>
        <v>KG3</v>
      </c>
      <c r="B38" s="1" t="s">
        <v>89</v>
      </c>
      <c r="C38" s="1" t="s">
        <v>14</v>
      </c>
      <c r="E38" s="1">
        <v>2600.0</v>
      </c>
    </row>
    <row r="39">
      <c r="A39" s="2"/>
    </row>
    <row r="40">
      <c r="A40" s="2"/>
    </row>
    <row r="41">
      <c r="A41" s="2"/>
    </row>
    <row r="42">
      <c r="A42" s="2"/>
      <c r="D42" s="3">
        <f t="shared" ref="D42:E42" si="1">SUM(D1:D38)</f>
        <v>85208</v>
      </c>
      <c r="E42" s="8">
        <f t="shared" si="1"/>
        <v>309312.9</v>
      </c>
      <c r="F42" s="8">
        <f>E42-D42</f>
        <v>224104.9</v>
      </c>
    </row>
    <row r="43">
      <c r="A43" s="2"/>
      <c r="F43" s="8">
        <f>E42-E1</f>
        <v>132600</v>
      </c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</sheetData>
  <conditionalFormatting sqref="C31">
    <cfRule type="notContainsBlanks" dxfId="0" priority="1">
      <formula>LEN(TRIM(C31))&gt;0</formula>
    </cfRule>
  </conditionalFormatting>
  <dataValidations>
    <dataValidation type="list" allowBlank="1" showErrorMessage="1" sqref="C2:C38">
      <formula1>'Refernce Sheet'!$A$2:$A$45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 t="s">
        <v>0</v>
      </c>
      <c r="B1" s="1" t="s">
        <v>1</v>
      </c>
      <c r="C1" s="1" t="s">
        <v>2</v>
      </c>
      <c r="E1" s="8">
        <v>224104.90000000002</v>
      </c>
    </row>
    <row r="2">
      <c r="A2" s="2" t="str">
        <f>vlookup(C2,'Refernce Sheet'!A:B,2,FALSE)</f>
        <v>KF1</v>
      </c>
      <c r="C2" s="1" t="s">
        <v>58</v>
      </c>
      <c r="E2" s="1">
        <v>2600.0</v>
      </c>
    </row>
    <row r="3">
      <c r="A3" s="2" t="str">
        <f>vlookup(C3,'Refernce Sheet'!A:B,2,FALSE)</f>
        <v>RG1</v>
      </c>
      <c r="C3" s="1" t="s">
        <v>10</v>
      </c>
      <c r="E3" s="1">
        <v>2600.0</v>
      </c>
    </row>
    <row r="4">
      <c r="A4" s="2" t="str">
        <f>vlookup(C4,'Refernce Sheet'!A:B,2,FALSE)</f>
        <v>KG1</v>
      </c>
      <c r="C4" s="1" t="s">
        <v>90</v>
      </c>
      <c r="E4" s="1">
        <v>2608.0</v>
      </c>
    </row>
    <row r="5">
      <c r="A5" s="2" t="str">
        <f>vlookup(C5,'Refernce Sheet'!A:B,2,FALSE)</f>
        <v>KG4</v>
      </c>
      <c r="C5" s="1" t="s">
        <v>12</v>
      </c>
      <c r="E5" s="1">
        <v>2600.0</v>
      </c>
    </row>
    <row r="6">
      <c r="A6" s="2" t="str">
        <f>vlookup(C6,'Refernce Sheet'!A:B,2,FALSE)</f>
        <v>KF2</v>
      </c>
      <c r="C6" s="1" t="s">
        <v>18</v>
      </c>
      <c r="E6" s="1">
        <v>2600.0</v>
      </c>
    </row>
    <row r="7">
      <c r="A7" s="2" t="str">
        <f>vlookup(C7,'Refernce Sheet'!A:B,2,FALSE)</f>
        <v>RS3</v>
      </c>
      <c r="C7" s="1" t="s">
        <v>32</v>
      </c>
      <c r="E7" s="1">
        <v>2600.0</v>
      </c>
    </row>
    <row r="8">
      <c r="A8" s="2" t="str">
        <f>vlookup(C8,'Refernce Sheet'!A:B,2,FALSE)</f>
        <v>RS2</v>
      </c>
      <c r="C8" s="1" t="s">
        <v>16</v>
      </c>
      <c r="E8" s="1">
        <v>2600.0</v>
      </c>
    </row>
    <row r="9">
      <c r="A9" s="2" t="str">
        <f>vlookup(C9,'Refernce Sheet'!A:B,2,FALSE)</f>
        <v>KS1</v>
      </c>
      <c r="C9" s="1" t="s">
        <v>20</v>
      </c>
      <c r="E9" s="1">
        <v>2600.0</v>
      </c>
    </row>
    <row r="10">
      <c r="A10" s="2" t="str">
        <f>vlookup(C10,'Refernce Sheet'!A:B,2,FALSE)</f>
        <v>VF2</v>
      </c>
      <c r="C10" s="1" t="s">
        <v>28</v>
      </c>
      <c r="E10" s="1">
        <v>2600.0</v>
      </c>
    </row>
    <row r="11">
      <c r="A11" s="2" t="str">
        <f>vlookup(C11,'Refernce Sheet'!A:B,2,FALSE)</f>
        <v>KS2</v>
      </c>
      <c r="C11" s="1" t="s">
        <v>67</v>
      </c>
      <c r="E11" s="1">
        <v>2600.0</v>
      </c>
    </row>
    <row r="12">
      <c r="A12" s="2" t="str">
        <f>vlookup(C12,'Refernce Sheet'!A:B,2,FALSE)</f>
        <v>KG2</v>
      </c>
      <c r="C12" s="1" t="s">
        <v>40</v>
      </c>
      <c r="E12" s="1">
        <v>2600.0</v>
      </c>
    </row>
    <row r="13">
      <c r="A13" s="2" t="str">
        <f>vlookup(C13,'Refernce Sheet'!A:B,2,FALSE)</f>
        <v>VG1</v>
      </c>
      <c r="C13" s="1" t="s">
        <v>52</v>
      </c>
      <c r="E13" s="1">
        <v>2600.0</v>
      </c>
    </row>
    <row r="14">
      <c r="A14" s="2" t="str">
        <f>vlookup(C14,'Refernce Sheet'!A:B,2,FALSE)</f>
        <v>RG2</v>
      </c>
      <c r="C14" s="1" t="s">
        <v>26</v>
      </c>
      <c r="E14" s="1">
        <v>2600.0</v>
      </c>
    </row>
    <row r="15">
      <c r="A15" s="2" t="str">
        <f>vlookup(C15,'Refernce Sheet'!A:B,2,FALSE)</f>
        <v>KF3</v>
      </c>
      <c r="C15" s="1" t="s">
        <v>24</v>
      </c>
      <c r="E15" s="1">
        <v>2600.0</v>
      </c>
    </row>
    <row r="16">
      <c r="A16" s="2" t="str">
        <f>vlookup(C16,'Refernce Sheet'!A:B,2,FALSE)</f>
        <v>RG3</v>
      </c>
      <c r="C16" s="1" t="s">
        <v>42</v>
      </c>
      <c r="E16" s="1">
        <v>2600.0</v>
      </c>
    </row>
    <row r="17">
      <c r="A17" s="2" t="str">
        <f>vlookup(C17,'Refernce Sheet'!A:B,2,FALSE)</f>
        <v>VF3</v>
      </c>
      <c r="C17" s="1" t="s">
        <v>38</v>
      </c>
      <c r="E17" s="1">
        <v>2600.0</v>
      </c>
    </row>
    <row r="18">
      <c r="A18" s="2" t="str">
        <f>vlookup(C18,'Refernce Sheet'!A:B,2,FALSE)</f>
        <v>VF3</v>
      </c>
      <c r="C18" s="1" t="s">
        <v>38</v>
      </c>
      <c r="E18" s="1">
        <v>2600.0</v>
      </c>
    </row>
    <row r="19">
      <c r="A19" s="2" t="str">
        <f>vlookup(C19,'Refernce Sheet'!A:B,2,FALSE)</f>
        <v>RF2</v>
      </c>
      <c r="C19" s="1" t="s">
        <v>34</v>
      </c>
      <c r="E19" s="1">
        <v>2600.0</v>
      </c>
    </row>
    <row r="20">
      <c r="A20" s="2" t="str">
        <f>vlookup(C20,'Refernce Sheet'!A:B,2,FALSE)</f>
        <v>VF1</v>
      </c>
      <c r="C20" s="1" t="s">
        <v>62</v>
      </c>
      <c r="E20" s="1">
        <v>2600.0</v>
      </c>
    </row>
    <row r="21">
      <c r="A21" s="2" t="str">
        <f>vlookup(C21,'Refernce Sheet'!A:B,2,FALSE)</f>
        <v>VS2</v>
      </c>
      <c r="C21" s="1" t="s">
        <v>44</v>
      </c>
      <c r="E21" s="1">
        <v>2600.0</v>
      </c>
    </row>
    <row r="22">
      <c r="A22" s="2" t="str">
        <f>vlookup(C22,'Refernce Sheet'!A:B,2,FALSE)</f>
        <v>RS3</v>
      </c>
      <c r="C22" s="1" t="s">
        <v>32</v>
      </c>
      <c r="E22" s="1">
        <v>2600.0</v>
      </c>
    </row>
    <row r="23">
      <c r="A23" s="2" t="str">
        <f>vlookup(C23,'Refernce Sheet'!A:B,2,FALSE)</f>
        <v>RF3</v>
      </c>
      <c r="C23" s="1" t="s">
        <v>50</v>
      </c>
      <c r="E23" s="1">
        <v>2600.0</v>
      </c>
    </row>
    <row r="24">
      <c r="A24" s="2" t="str">
        <f>vlookup(C24,'Refernce Sheet'!A:B,2,FALSE)</f>
        <v>VS3</v>
      </c>
      <c r="C24" s="1" t="s">
        <v>47</v>
      </c>
      <c r="E24" s="1">
        <v>2600.0</v>
      </c>
    </row>
    <row r="25">
      <c r="A25" s="2" t="str">
        <f>vlookup(C25,'Refernce Sheet'!A:B,2,FALSE)</f>
        <v>Security</v>
      </c>
      <c r="B25" s="6">
        <v>45880.0</v>
      </c>
      <c r="C25" s="1" t="s">
        <v>66</v>
      </c>
      <c r="D25" s="1">
        <v>29000.0</v>
      </c>
    </row>
    <row r="26">
      <c r="A26" s="2" t="str">
        <f>vlookup(C26,'Refernce Sheet'!A:B,2,FALSE)</f>
        <v>Maintenance</v>
      </c>
      <c r="B26" s="6">
        <v>45880.0</v>
      </c>
      <c r="C26" s="1" t="s">
        <v>45</v>
      </c>
      <c r="D26" s="1">
        <v>15000.0</v>
      </c>
    </row>
    <row r="27">
      <c r="A27" s="2" t="str">
        <f>vlookup(C27,'Refernce Sheet'!A:B,2,FALSE)</f>
        <v>VF3</v>
      </c>
      <c r="C27" s="1" t="s">
        <v>38</v>
      </c>
      <c r="E27" s="1">
        <v>1000.0</v>
      </c>
      <c r="F27" s="1" t="s">
        <v>91</v>
      </c>
    </row>
    <row r="28">
      <c r="A28" s="2" t="str">
        <f>vlookup(C28,'Refernce Sheet'!A:B,2,FALSE)</f>
        <v>BESCOM</v>
      </c>
      <c r="B28" s="6">
        <v>45886.0</v>
      </c>
      <c r="C28" s="1" t="s">
        <v>69</v>
      </c>
      <c r="D28" s="1">
        <v>2560.0</v>
      </c>
    </row>
    <row r="29">
      <c r="A29" s="2" t="str">
        <f>vlookup(C29,'Refernce Sheet'!A:B,2,FALSE)</f>
        <v>BESCOM</v>
      </c>
      <c r="B29" s="6">
        <v>45886.0</v>
      </c>
      <c r="C29" s="1" t="s">
        <v>69</v>
      </c>
      <c r="D29" s="1">
        <v>2560.0</v>
      </c>
    </row>
    <row r="30">
      <c r="A30" s="2" t="str">
        <f>vlookup(C30,'Refernce Sheet'!A:B,2,FALSE)</f>
        <v>BESCOM</v>
      </c>
      <c r="B30" s="6">
        <v>45886.0</v>
      </c>
      <c r="C30" s="1" t="s">
        <v>69</v>
      </c>
      <c r="D30" s="1">
        <v>6061.0</v>
      </c>
    </row>
    <row r="31">
      <c r="A31" s="2" t="str">
        <f>vlookup(C31,'Refernce Sheet'!A:B,2,FALSE)</f>
        <v>BWSSB</v>
      </c>
      <c r="B31" s="6">
        <v>45890.0</v>
      </c>
      <c r="C31" s="1" t="s">
        <v>53</v>
      </c>
      <c r="D31" s="1">
        <v>9950.0</v>
      </c>
    </row>
    <row r="32">
      <c r="A32" s="2" t="str">
        <f>vlookup(C32,'Refernce Sheet'!A:B,2,FALSE)</f>
        <v>#N/A</v>
      </c>
      <c r="C32" s="3"/>
    </row>
    <row r="33">
      <c r="A33" s="2" t="str">
        <f>vlookup(C33,'Refernce Sheet'!A:B,2,FALSE)</f>
        <v>#N/A</v>
      </c>
      <c r="C33" s="3"/>
    </row>
    <row r="34">
      <c r="A34" s="2" t="str">
        <f>vlookup(C34,'Refernce Sheet'!A:B,2,FALSE)</f>
        <v>#N/A</v>
      </c>
      <c r="C34" s="3"/>
    </row>
    <row r="35">
      <c r="D35" s="1" t="s">
        <v>3</v>
      </c>
      <c r="E35" s="1" t="s">
        <v>4</v>
      </c>
    </row>
    <row r="37">
      <c r="F37" s="1" t="s">
        <v>5</v>
      </c>
    </row>
    <row r="38">
      <c r="D38" s="3">
        <f>SUM(D2:D37)</f>
        <v>65131</v>
      </c>
      <c r="E38" s="8">
        <f>sum(E1:E37)</f>
        <v>284912.9</v>
      </c>
      <c r="F38" s="8">
        <f>E38-D38</f>
        <v>219781.9</v>
      </c>
    </row>
    <row r="40">
      <c r="E40" s="8">
        <f>E38-E1</f>
        <v>60808</v>
      </c>
    </row>
  </sheetData>
  <conditionalFormatting sqref="C31">
    <cfRule type="notContainsBlanks" dxfId="0" priority="1">
      <formula>LEN(TRIM(C31))&gt;0</formula>
    </cfRule>
  </conditionalFormatting>
  <dataValidations>
    <dataValidation type="list" allowBlank="1" showErrorMessage="1" sqref="C2:C34">
      <formula1>'Refernce Sheet'!$A$2:$A$42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 t="s">
        <v>0</v>
      </c>
      <c r="B1" s="1" t="s">
        <v>1</v>
      </c>
      <c r="C1" s="1" t="s">
        <v>2</v>
      </c>
      <c r="E1" s="8">
        <v>219781.90000000002</v>
      </c>
    </row>
    <row r="2">
      <c r="A2" s="2" t="str">
        <f>vlookup(C2,'Refernce Sheet'!A:B,2,FALSE)</f>
        <v>KG3</v>
      </c>
      <c r="C2" s="1" t="s">
        <v>14</v>
      </c>
      <c r="E2" s="1">
        <v>2600.0</v>
      </c>
    </row>
    <row r="3">
      <c r="A3" s="2" t="str">
        <f>vlookup(C3,'Refernce Sheet'!A:B,2,FALSE)</f>
        <v>Bank Interest</v>
      </c>
      <c r="C3" s="1" t="s">
        <v>92</v>
      </c>
      <c r="E3" s="1">
        <v>1473.0</v>
      </c>
    </row>
    <row r="4">
      <c r="A4" s="2" t="str">
        <f>vlookup(C4,'Refernce Sheet'!A:B,2,FALSE)</f>
        <v>KS2</v>
      </c>
      <c r="C4" s="1" t="s">
        <v>67</v>
      </c>
      <c r="E4" s="1">
        <v>2600.0</v>
      </c>
    </row>
    <row r="5">
      <c r="A5" s="2" t="str">
        <f>vlookup(C5,'Refernce Sheet'!A:B,2,FALSE)</f>
        <v>KF1</v>
      </c>
      <c r="C5" s="1" t="s">
        <v>58</v>
      </c>
      <c r="E5" s="1">
        <v>2600.0</v>
      </c>
    </row>
    <row r="6">
      <c r="A6" s="2" t="str">
        <f>vlookup(C6,'Refernce Sheet'!A:B,2,FALSE)</f>
        <v>RG1</v>
      </c>
      <c r="C6" s="1" t="s">
        <v>10</v>
      </c>
      <c r="E6" s="1">
        <v>2600.0</v>
      </c>
    </row>
    <row r="7">
      <c r="A7" s="2" t="str">
        <f>vlookup(C7,'Refernce Sheet'!A:B,2,FALSE)</f>
        <v>KF3</v>
      </c>
      <c r="C7" s="1" t="s">
        <v>24</v>
      </c>
      <c r="E7" s="1">
        <v>2600.0</v>
      </c>
    </row>
    <row r="8">
      <c r="A8" s="2" t="str">
        <f>vlookup(C8,'Refernce Sheet'!A:B,2,FALSE)</f>
        <v>KF2</v>
      </c>
      <c r="C8" s="1" t="s">
        <v>18</v>
      </c>
      <c r="E8" s="1">
        <v>2600.0</v>
      </c>
    </row>
    <row r="9">
      <c r="A9" s="2" t="str">
        <f>vlookup(C9,'Refernce Sheet'!A:B,2,FALSE)</f>
        <v>KG4</v>
      </c>
      <c r="C9" s="1" t="s">
        <v>12</v>
      </c>
      <c r="E9" s="1">
        <v>2600.0</v>
      </c>
    </row>
    <row r="10">
      <c r="A10" s="2" t="str">
        <f>vlookup(C10,'Refernce Sheet'!A:B,2,FALSE)</f>
        <v>KS1</v>
      </c>
      <c r="C10" s="1" t="s">
        <v>20</v>
      </c>
      <c r="E10" s="1">
        <v>2600.0</v>
      </c>
    </row>
    <row r="11">
      <c r="A11" s="2" t="str">
        <f>vlookup(C11,'Refernce Sheet'!A:B,2,FALSE)</f>
        <v>#N/A</v>
      </c>
      <c r="C11" s="1" t="s">
        <v>22</v>
      </c>
      <c r="E11" s="1">
        <v>2600.0</v>
      </c>
    </row>
    <row r="12">
      <c r="A12" s="2" t="str">
        <f>vlookup(C12,'Refernce Sheet'!A:B,2,FALSE)</f>
        <v>RG2</v>
      </c>
      <c r="C12" s="1" t="s">
        <v>26</v>
      </c>
      <c r="E12" s="1">
        <v>2600.0</v>
      </c>
    </row>
    <row r="13">
      <c r="A13" s="2" t="str">
        <f>vlookup(C13,'Refernce Sheet'!A:B,2,FALSE)</f>
        <v>VF1</v>
      </c>
      <c r="C13" s="1" t="s">
        <v>62</v>
      </c>
      <c r="E13" s="1">
        <v>2600.0</v>
      </c>
    </row>
    <row r="14">
      <c r="A14" s="2" t="str">
        <f>vlookup(C14,'Refernce Sheet'!A:B,2,FALSE)</f>
        <v>VS2</v>
      </c>
      <c r="C14" s="1" t="s">
        <v>44</v>
      </c>
      <c r="E14" s="1">
        <v>2600.0</v>
      </c>
    </row>
    <row r="15">
      <c r="A15" s="2" t="str">
        <f>vlookup(C15,'Refernce Sheet'!A:B,2,FALSE)</f>
        <v>VF3</v>
      </c>
      <c r="C15" s="1" t="s">
        <v>38</v>
      </c>
      <c r="E15" s="1">
        <v>2600.0</v>
      </c>
    </row>
    <row r="16">
      <c r="A16" s="2" t="str">
        <f>vlookup(C16,'Refernce Sheet'!A:B,2,FALSE)</f>
        <v>RF3</v>
      </c>
      <c r="C16" s="1" t="s">
        <v>50</v>
      </c>
      <c r="E16" s="1">
        <v>2600.0</v>
      </c>
    </row>
    <row r="17">
      <c r="A17" s="2" t="str">
        <f>vlookup(C17,'Refernce Sheet'!A:B,2,FALSE)</f>
        <v>RS3</v>
      </c>
      <c r="C17" s="1" t="s">
        <v>32</v>
      </c>
      <c r="E17" s="1">
        <v>2600.0</v>
      </c>
    </row>
    <row r="18">
      <c r="A18" s="2" t="str">
        <f>vlookup(C18,'Refernce Sheet'!A:B,2,FALSE)</f>
        <v>RF2</v>
      </c>
      <c r="C18" s="1" t="s">
        <v>34</v>
      </c>
      <c r="E18" s="1">
        <v>2600.0</v>
      </c>
    </row>
    <row r="19">
      <c r="A19" s="2" t="str">
        <f>vlookup(C19,'Refernce Sheet'!A:B,2,FALSE)</f>
        <v>Security</v>
      </c>
      <c r="B19" s="10">
        <v>45909.0</v>
      </c>
      <c r="C19" s="1" t="s">
        <v>66</v>
      </c>
      <c r="D19" s="1">
        <v>29000.0</v>
      </c>
    </row>
    <row r="20">
      <c r="A20" s="2" t="str">
        <f>vlookup(C20,'Refernce Sheet'!A:B,2,FALSE)</f>
        <v>VS3</v>
      </c>
      <c r="C20" s="1" t="s">
        <v>47</v>
      </c>
      <c r="E20" s="1">
        <v>2600.0</v>
      </c>
    </row>
    <row r="21">
      <c r="A21" s="2" t="str">
        <f>vlookup(C21,'Refernce Sheet'!A:B,2,FALSE)</f>
        <v>Maintenance</v>
      </c>
      <c r="C21" s="1" t="s">
        <v>45</v>
      </c>
      <c r="D21" s="1">
        <v>15000.0</v>
      </c>
    </row>
    <row r="22">
      <c r="A22" s="2" t="str">
        <f>vlookup(C22,'Refernce Sheet'!A:B,2,FALSE)</f>
        <v>KG2</v>
      </c>
      <c r="C22" s="1" t="s">
        <v>40</v>
      </c>
      <c r="E22" s="1">
        <v>2600.0</v>
      </c>
    </row>
    <row r="23">
      <c r="A23" s="2" t="str">
        <f>vlookup(C23,'Refernce Sheet'!A:B,2,FALSE)</f>
        <v>BESCOM</v>
      </c>
      <c r="B23" s="1" t="s">
        <v>93</v>
      </c>
      <c r="C23" s="1" t="s">
        <v>69</v>
      </c>
      <c r="D23" s="1">
        <v>5767.0</v>
      </c>
    </row>
    <row r="24">
      <c r="A24" s="2" t="str">
        <f>vlookup(C24,'Refernce Sheet'!A:B,2,FALSE)</f>
        <v>BESCOM</v>
      </c>
      <c r="C24" s="1" t="s">
        <v>69</v>
      </c>
      <c r="D24" s="1">
        <v>2584.0</v>
      </c>
    </row>
    <row r="25">
      <c r="A25" s="2" t="str">
        <f>vlookup(C25,'Refernce Sheet'!A:B,2,FALSE)</f>
        <v>BESCOM</v>
      </c>
      <c r="C25" s="1" t="s">
        <v>69</v>
      </c>
      <c r="D25" s="1">
        <v>2577.0</v>
      </c>
    </row>
    <row r="26">
      <c r="A26" s="2" t="str">
        <f>vlookup(C26,'Refernce Sheet'!A:B,2,FALSE)</f>
        <v>VF2</v>
      </c>
      <c r="C26" s="1" t="s">
        <v>28</v>
      </c>
      <c r="E26" s="1">
        <v>2600.0</v>
      </c>
    </row>
    <row r="27">
      <c r="A27" s="2" t="str">
        <f>vlookup(C27,'Refernce Sheet'!A:B,2,FALSE)</f>
        <v>BWSSB</v>
      </c>
      <c r="B27" s="1" t="s">
        <v>94</v>
      </c>
      <c r="C27" s="1" t="s">
        <v>53</v>
      </c>
      <c r="D27" s="1">
        <v>11300.0</v>
      </c>
    </row>
    <row r="28">
      <c r="A28" s="2" t="str">
        <f>vlookup(C28,'Refernce Sheet'!A:B,2,FALSE)</f>
        <v>RG3</v>
      </c>
      <c r="C28" s="1" t="s">
        <v>95</v>
      </c>
      <c r="E28" s="1">
        <v>2600.0</v>
      </c>
      <c r="G28" s="1" t="s">
        <v>96</v>
      </c>
    </row>
    <row r="29">
      <c r="A29" s="2" t="str">
        <f>vlookup(C29,'Refernce Sheet'!A:B,2,FALSE)</f>
        <v>KF4</v>
      </c>
      <c r="C29" s="1" t="s">
        <v>68</v>
      </c>
      <c r="E29" s="1">
        <v>15600.0</v>
      </c>
    </row>
    <row r="30">
      <c r="A30" s="2" t="str">
        <f>vlookup(C30,'Refernce Sheet'!A:B,2,FALSE)</f>
        <v>KG3</v>
      </c>
      <c r="C30" s="1" t="s">
        <v>14</v>
      </c>
      <c r="E30" s="1">
        <v>2600.0</v>
      </c>
    </row>
    <row r="31">
      <c r="A31" s="2" t="str">
        <f>vlookup(C31,'Refernce Sheet'!A:B,2,FALSE)</f>
        <v>#N/A</v>
      </c>
      <c r="C31" s="3"/>
    </row>
    <row r="32">
      <c r="A32" s="2" t="str">
        <f>vlookup(C32,'Refernce Sheet'!A:B,2,FALSE)</f>
        <v>#N/A</v>
      </c>
      <c r="C32" s="3"/>
    </row>
    <row r="33">
      <c r="A33" s="2" t="str">
        <f>vlookup(C33,'Refernce Sheet'!A:B,2,FALSE)</f>
        <v>#N/A</v>
      </c>
      <c r="C33" s="3"/>
    </row>
    <row r="34">
      <c r="A34" s="2" t="str">
        <f>vlookup(C34,'Refernce Sheet'!A:B,2,FALSE)</f>
        <v>#N/A</v>
      </c>
      <c r="C34" s="3"/>
    </row>
    <row r="35">
      <c r="D35" s="1" t="s">
        <v>3</v>
      </c>
      <c r="E35" s="1" t="s">
        <v>4</v>
      </c>
    </row>
    <row r="37">
      <c r="F37" s="1" t="s">
        <v>5</v>
      </c>
    </row>
    <row r="38">
      <c r="D38" s="3">
        <f>SUM(D9:D33)</f>
        <v>66228</v>
      </c>
      <c r="E38" s="8">
        <f>sum(E1:E36)</f>
        <v>291454.9</v>
      </c>
      <c r="F38" s="8">
        <f>E38-D38</f>
        <v>225226.9</v>
      </c>
    </row>
    <row r="40">
      <c r="E40" s="8">
        <f>E38-E2</f>
        <v>288854.9</v>
      </c>
    </row>
  </sheetData>
  <conditionalFormatting sqref="C31">
    <cfRule type="notContainsBlanks" dxfId="0" priority="1">
      <formula>LEN(TRIM(C31))&gt;0</formula>
    </cfRule>
  </conditionalFormatting>
  <dataValidations>
    <dataValidation type="list" allowBlank="1" showErrorMessage="1" sqref="C2:C34">
      <formula1>'Refernce Sheet'!$A$2:$A$46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 t="s">
        <v>0</v>
      </c>
      <c r="B1" s="1" t="s">
        <v>1</v>
      </c>
      <c r="C1" s="1" t="s">
        <v>2</v>
      </c>
      <c r="E1" s="8">
        <v>225226.90000000002</v>
      </c>
    </row>
    <row r="2">
      <c r="A2" s="2" t="str">
        <f>vlookup(C2,'Refernce Sheet'!A:B,2,FALSE)</f>
        <v>KF1</v>
      </c>
      <c r="C2" s="1" t="s">
        <v>58</v>
      </c>
      <c r="E2" s="1">
        <v>2600.0</v>
      </c>
    </row>
    <row r="3">
      <c r="A3" s="2" t="str">
        <f>vlookup(C3,'Refernce Sheet'!A:B,2,FALSE)</f>
        <v>RG1</v>
      </c>
      <c r="C3" s="1" t="s">
        <v>10</v>
      </c>
      <c r="E3" s="1">
        <v>2600.0</v>
      </c>
    </row>
    <row r="4">
      <c r="A4" s="2" t="str">
        <f>vlookup(C4,'Refernce Sheet'!A:B,2,FALSE)</f>
        <v>KG4</v>
      </c>
      <c r="C4" s="1" t="s">
        <v>12</v>
      </c>
      <c r="E4" s="1">
        <v>2600.0</v>
      </c>
    </row>
    <row r="5">
      <c r="A5" s="2" t="str">
        <f>vlookup(C5,'Refernce Sheet'!A:B,2,FALSE)</f>
        <v>KF3</v>
      </c>
      <c r="C5" s="1" t="s">
        <v>24</v>
      </c>
      <c r="E5" s="1">
        <v>2600.0</v>
      </c>
    </row>
    <row r="6">
      <c r="A6" s="2" t="str">
        <f>vlookup(C6,'Refernce Sheet'!A:B,2,FALSE)</f>
        <v>KF2</v>
      </c>
      <c r="C6" s="1" t="s">
        <v>18</v>
      </c>
      <c r="E6" s="1">
        <v>2600.0</v>
      </c>
    </row>
    <row r="7">
      <c r="A7" s="2" t="str">
        <f>vlookup(C7,'Refernce Sheet'!A:B,2,FALSE)</f>
        <v>VG3</v>
      </c>
      <c r="C7" s="1" t="s">
        <v>8</v>
      </c>
      <c r="E7" s="1">
        <v>7800.0</v>
      </c>
    </row>
    <row r="8">
      <c r="A8" s="2" t="str">
        <f>vlookup(C8,'Refernce Sheet'!A:B,2,FALSE)</f>
        <v>Cash</v>
      </c>
      <c r="B8" s="6">
        <v>45932.0</v>
      </c>
      <c r="C8" s="1" t="s">
        <v>71</v>
      </c>
      <c r="D8" s="1">
        <v>20000.0</v>
      </c>
    </row>
    <row r="9">
      <c r="A9" s="2" t="str">
        <f>vlookup(C9,'Refernce Sheet'!A:B,2,FALSE)</f>
        <v>KS4</v>
      </c>
      <c r="C9" s="1" t="s">
        <v>63</v>
      </c>
      <c r="E9" s="1">
        <v>7800.0</v>
      </c>
    </row>
    <row r="10">
      <c r="A10" s="2" t="str">
        <f>vlookup(C10,'Refernce Sheet'!A:B,2,FALSE)</f>
        <v>RG2</v>
      </c>
      <c r="C10" s="1" t="s">
        <v>26</v>
      </c>
      <c r="E10" s="1">
        <v>2600.0</v>
      </c>
    </row>
    <row r="11">
      <c r="A11" s="2" t="str">
        <f>vlookup(C11,'Refernce Sheet'!A:B,2,FALSE)</f>
        <v>KS1</v>
      </c>
      <c r="C11" s="1" t="s">
        <v>20</v>
      </c>
      <c r="E11" s="1">
        <v>2600.0</v>
      </c>
    </row>
    <row r="12">
      <c r="A12" s="2" t="str">
        <f>vlookup(C12,'Refernce Sheet'!A:B,2,FALSE)</f>
        <v>RS2</v>
      </c>
      <c r="C12" s="1" t="s">
        <v>16</v>
      </c>
      <c r="E12" s="1">
        <v>2600.0</v>
      </c>
    </row>
    <row r="13">
      <c r="A13" s="2" t="str">
        <f>vlookup(C13,'Refernce Sheet'!A:B,2,FALSE)</f>
        <v>KS2</v>
      </c>
      <c r="C13" s="1" t="s">
        <v>67</v>
      </c>
      <c r="E13" s="1">
        <v>2600.0</v>
      </c>
    </row>
    <row r="14">
      <c r="A14" s="2" t="str">
        <f>vlookup(C14,'Refernce Sheet'!A:B,2,FALSE)</f>
        <v>VF2</v>
      </c>
      <c r="C14" s="1" t="s">
        <v>28</v>
      </c>
      <c r="E14" s="1">
        <v>2600.0</v>
      </c>
    </row>
    <row r="15">
      <c r="A15" s="2" t="str">
        <f>vlookup(C15,'Refernce Sheet'!A:B,2,FALSE)</f>
        <v>KG2</v>
      </c>
      <c r="C15" s="1" t="s">
        <v>40</v>
      </c>
      <c r="E15" s="1">
        <v>2600.0</v>
      </c>
    </row>
    <row r="16">
      <c r="A16" s="2" t="str">
        <f>vlookup(C16,'Refernce Sheet'!A:B,2,FALSE)</f>
        <v>VF3</v>
      </c>
      <c r="C16" s="1" t="s">
        <v>38</v>
      </c>
      <c r="E16" s="1">
        <v>2600.0</v>
      </c>
    </row>
    <row r="17">
      <c r="A17" s="2" t="str">
        <f>vlookup(C17,'Refernce Sheet'!A:B,2,FALSE)</f>
        <v>VF1</v>
      </c>
      <c r="C17" s="1" t="s">
        <v>62</v>
      </c>
      <c r="E17" s="1">
        <v>2600.0</v>
      </c>
    </row>
    <row r="18">
      <c r="A18" s="2" t="str">
        <f>vlookup(C18,'Refernce Sheet'!A:B,2,FALSE)</f>
        <v>#N/A</v>
      </c>
      <c r="C18" s="1" t="s">
        <v>22</v>
      </c>
      <c r="E18" s="1">
        <v>2600.0</v>
      </c>
    </row>
    <row r="19">
      <c r="A19" s="2" t="str">
        <f>vlookup(C19,'Refernce Sheet'!A:B,2,FALSE)</f>
        <v>RS3</v>
      </c>
      <c r="C19" s="1" t="s">
        <v>32</v>
      </c>
      <c r="E19" s="1">
        <v>2600.0</v>
      </c>
    </row>
    <row r="20">
      <c r="A20" s="2" t="str">
        <f>vlookup(C20,'Refernce Sheet'!A:B,2,FALSE)</f>
        <v>KS3</v>
      </c>
      <c r="C20" s="1" t="s">
        <v>60</v>
      </c>
      <c r="E20" s="1">
        <v>5200.0</v>
      </c>
    </row>
    <row r="21">
      <c r="A21" s="2" t="str">
        <f>vlookup(C21,'Refernce Sheet'!A:B,2,FALSE)</f>
        <v>RF3</v>
      </c>
      <c r="C21" s="1" t="s">
        <v>50</v>
      </c>
      <c r="E21" s="1">
        <v>2600.0</v>
      </c>
    </row>
    <row r="22">
      <c r="A22" s="2" t="str">
        <f>vlookup(C22,'Refernce Sheet'!A:B,2,FALSE)</f>
        <v>Security</v>
      </c>
      <c r="B22" s="6">
        <v>45939.0</v>
      </c>
      <c r="C22" s="1" t="s">
        <v>66</v>
      </c>
      <c r="D22" s="1">
        <v>29000.0</v>
      </c>
    </row>
    <row r="23">
      <c r="A23" s="2" t="str">
        <f>vlookup(C23,'Refernce Sheet'!A:B,2,FALSE)</f>
        <v>VS3</v>
      </c>
      <c r="C23" s="1" t="s">
        <v>47</v>
      </c>
      <c r="E23" s="1">
        <v>2600.0</v>
      </c>
    </row>
    <row r="24">
      <c r="A24" s="2" t="str">
        <f>vlookup(C24,'Refernce Sheet'!A:B,2,FALSE)</f>
        <v>RG3</v>
      </c>
      <c r="C24" s="1" t="s">
        <v>95</v>
      </c>
      <c r="E24" s="1">
        <v>2600.0</v>
      </c>
    </row>
    <row r="25">
      <c r="A25" s="2" t="str">
        <f>vlookup(C25,'Refernce Sheet'!A:B,2,FALSE)</f>
        <v>Maintenance</v>
      </c>
      <c r="B25" s="6">
        <v>45940.0</v>
      </c>
      <c r="C25" s="1" t="s">
        <v>45</v>
      </c>
      <c r="D25" s="1">
        <v>15000.0</v>
      </c>
    </row>
    <row r="26">
      <c r="A26" s="2" t="str">
        <f>vlookup(C26,'Refernce Sheet'!A:B,2,FALSE)</f>
        <v>VG2</v>
      </c>
      <c r="C26" s="1" t="s">
        <v>56</v>
      </c>
      <c r="E26" s="1">
        <v>7800.0</v>
      </c>
    </row>
    <row r="27">
      <c r="A27" s="2" t="str">
        <f>vlookup(C27,'Refernce Sheet'!A:B,2,FALSE)</f>
        <v>VS2</v>
      </c>
      <c r="C27" s="1" t="s">
        <v>44</v>
      </c>
      <c r="E27" s="1">
        <v>2600.0</v>
      </c>
    </row>
    <row r="28">
      <c r="A28" s="2" t="str">
        <f>vlookup(C28,'Refernce Sheet'!A:B,2,FALSE)</f>
        <v>RF2</v>
      </c>
      <c r="C28" s="1" t="s">
        <v>34</v>
      </c>
      <c r="E28" s="1">
        <v>2600.0</v>
      </c>
    </row>
    <row r="29">
      <c r="A29" s="2" t="str">
        <f>vlookup(C29,'Refernce Sheet'!A:B,2,FALSE)</f>
        <v>BESCOM</v>
      </c>
      <c r="C29" s="1" t="s">
        <v>69</v>
      </c>
      <c r="D29" s="1">
        <v>2497.0</v>
      </c>
    </row>
    <row r="30">
      <c r="A30" s="2" t="str">
        <f>vlookup(C30,'Refernce Sheet'!A:B,2,FALSE)</f>
        <v>BESCOM</v>
      </c>
      <c r="C30" s="1" t="s">
        <v>69</v>
      </c>
      <c r="D30" s="1">
        <v>5674.0</v>
      </c>
    </row>
    <row r="31">
      <c r="A31" s="2" t="str">
        <f>vlookup(C31,'Refernce Sheet'!A:B,2,FALSE)</f>
        <v>BESCOM</v>
      </c>
      <c r="C31" s="1" t="s">
        <v>69</v>
      </c>
      <c r="D31" s="1">
        <v>2546.0</v>
      </c>
    </row>
    <row r="32">
      <c r="A32" s="2" t="str">
        <f>vlookup(C32,'Refernce Sheet'!A:B,2,FALSE)</f>
        <v>KG3</v>
      </c>
      <c r="C32" s="1" t="s">
        <v>14</v>
      </c>
      <c r="E32" s="1">
        <v>2600.0</v>
      </c>
    </row>
    <row r="33">
      <c r="A33" s="2" t="str">
        <f>vlookup(C33,'Refernce Sheet'!A:B,2,FALSE)</f>
        <v>#N/A</v>
      </c>
      <c r="C33" s="3"/>
    </row>
    <row r="34">
      <c r="A34" s="2" t="str">
        <f>vlookup(C34,'Refernce Sheet'!A:B,2,FALSE)</f>
        <v>#N/A</v>
      </c>
      <c r="C34" s="3"/>
    </row>
    <row r="35">
      <c r="D35" s="1" t="s">
        <v>3</v>
      </c>
      <c r="E35" s="1" t="s">
        <v>4</v>
      </c>
    </row>
    <row r="37">
      <c r="F37" s="1" t="s">
        <v>5</v>
      </c>
    </row>
    <row r="38">
      <c r="D38" s="3">
        <f>SUM(D2:D37)</f>
        <v>74717</v>
      </c>
      <c r="E38" s="3">
        <f>sum(E2:E37)</f>
        <v>83200</v>
      </c>
      <c r="F38" s="8">
        <f>E38+E1-D38</f>
        <v>233709.9</v>
      </c>
    </row>
  </sheetData>
  <conditionalFormatting sqref="C31">
    <cfRule type="notContainsBlanks" dxfId="0" priority="1">
      <formula>LEN(TRIM(C31))&gt;0</formula>
    </cfRule>
  </conditionalFormatting>
  <dataValidations>
    <dataValidation type="list" allowBlank="1" showErrorMessage="1" sqref="C2:C34">
      <formula1>'Refernce Sheet'!$A$2:$A$46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 t="s">
        <v>0</v>
      </c>
      <c r="B1" s="1" t="s">
        <v>1</v>
      </c>
      <c r="C1" s="1" t="s">
        <v>2</v>
      </c>
      <c r="E1" s="8">
        <v>233709.90000000002</v>
      </c>
    </row>
    <row r="2">
      <c r="A2" s="2" t="str">
        <f>vlookup(C2,'Refernce Sheet'!A:B,2,FALSE)</f>
        <v>KF1</v>
      </c>
      <c r="C2" s="1" t="s">
        <v>58</v>
      </c>
      <c r="E2" s="1">
        <v>2600.0</v>
      </c>
    </row>
    <row r="3">
      <c r="A3" s="2" t="str">
        <f>vlookup(C3,'Refernce Sheet'!A:B,2,FALSE)</f>
        <v>KS2</v>
      </c>
      <c r="C3" s="1" t="s">
        <v>67</v>
      </c>
      <c r="E3" s="1">
        <v>2600.0</v>
      </c>
    </row>
    <row r="4">
      <c r="A4" s="2" t="str">
        <f>vlookup(C4,'Refernce Sheet'!A:B,2,FALSE)</f>
        <v>KG4</v>
      </c>
      <c r="C4" s="1" t="s">
        <v>12</v>
      </c>
      <c r="E4" s="1">
        <v>2600.0</v>
      </c>
    </row>
    <row r="5">
      <c r="A5" s="2" t="str">
        <f>vlookup(C5,'Refernce Sheet'!A:B,2,FALSE)</f>
        <v>RS2</v>
      </c>
      <c r="C5" s="1" t="s">
        <v>16</v>
      </c>
      <c r="E5" s="1">
        <v>2600.0</v>
      </c>
    </row>
    <row r="6">
      <c r="A6" s="2" t="str">
        <f>vlookup(C6,'Refernce Sheet'!A:B,2,FALSE)</f>
        <v>KF2</v>
      </c>
      <c r="C6" s="1" t="s">
        <v>18</v>
      </c>
      <c r="E6" s="1">
        <v>2600.0</v>
      </c>
    </row>
    <row r="7">
      <c r="A7" s="2" t="str">
        <f>vlookup(C7,'Refernce Sheet'!A:B,2,FALSE)</f>
        <v>RG2</v>
      </c>
      <c r="C7" s="1" t="s">
        <v>26</v>
      </c>
      <c r="E7" s="1">
        <v>2600.0</v>
      </c>
    </row>
    <row r="8">
      <c r="A8" s="2" t="str">
        <f>vlookup(C8,'Refernce Sheet'!A:B,2,FALSE)</f>
        <v>KS1</v>
      </c>
      <c r="C8" s="1" t="s">
        <v>20</v>
      </c>
      <c r="E8" s="1">
        <v>2600.0</v>
      </c>
    </row>
    <row r="9">
      <c r="A9" s="2" t="str">
        <f>vlookup(C9,'Refernce Sheet'!A:B,2,FALSE)</f>
        <v>RG1</v>
      </c>
      <c r="C9" s="1" t="s">
        <v>10</v>
      </c>
      <c r="E9" s="1">
        <v>2600.0</v>
      </c>
    </row>
    <row r="10">
      <c r="A10" s="2" t="str">
        <f>vlookup(C10,'Refernce Sheet'!A:B,2,FALSE)</f>
        <v>KF3</v>
      </c>
      <c r="C10" s="1" t="s">
        <v>24</v>
      </c>
      <c r="E10" s="1">
        <v>2600.0</v>
      </c>
    </row>
    <row r="11">
      <c r="A11" s="2" t="str">
        <f>vlookup(C11,'Refernce Sheet'!A:B,2,FALSE)</f>
        <v>BWSSB</v>
      </c>
      <c r="B11" s="6">
        <v>45964.0</v>
      </c>
      <c r="C11" s="1" t="s">
        <v>53</v>
      </c>
      <c r="D11" s="1">
        <v>10400.0</v>
      </c>
    </row>
    <row r="12">
      <c r="A12" s="2" t="str">
        <f>vlookup(C12,'Refernce Sheet'!A:B,2,FALSE)</f>
        <v>VF1</v>
      </c>
      <c r="C12" s="1" t="s">
        <v>62</v>
      </c>
      <c r="E12" s="1">
        <v>2600.0</v>
      </c>
    </row>
    <row r="13">
      <c r="A13" s="2" t="str">
        <f>vlookup(C13,'Refernce Sheet'!A:B,2,FALSE)</f>
        <v>VF2</v>
      </c>
      <c r="C13" s="1" t="s">
        <v>28</v>
      </c>
      <c r="E13" s="1">
        <v>2600.0</v>
      </c>
    </row>
    <row r="14">
      <c r="A14" s="2" t="str">
        <f>vlookup(C14,'Refernce Sheet'!A:B,2,FALSE)</f>
        <v>Security</v>
      </c>
      <c r="B14" s="9">
        <v>45966.0</v>
      </c>
      <c r="C14" s="1" t="s">
        <v>66</v>
      </c>
      <c r="D14" s="1">
        <v>29000.0</v>
      </c>
    </row>
    <row r="15">
      <c r="A15" s="2" t="str">
        <f>vlookup(C15,'Refernce Sheet'!A:B,2,FALSE)</f>
        <v>#N/A</v>
      </c>
      <c r="C15" s="1" t="s">
        <v>22</v>
      </c>
      <c r="E15" s="1">
        <v>2600.0</v>
      </c>
    </row>
    <row r="16">
      <c r="A16" s="2" t="str">
        <f>vlookup(C16,'Refernce Sheet'!A:B,2,FALSE)</f>
        <v>VF3</v>
      </c>
      <c r="C16" s="1" t="s">
        <v>38</v>
      </c>
      <c r="E16" s="1">
        <v>2600.0</v>
      </c>
    </row>
    <row r="17">
      <c r="A17" s="2" t="str">
        <f>vlookup(C17,'Refernce Sheet'!A:B,2,FALSE)</f>
        <v>Cash</v>
      </c>
      <c r="B17" s="6">
        <v>45968.0</v>
      </c>
      <c r="C17" s="1" t="s">
        <v>71</v>
      </c>
      <c r="D17" s="1">
        <v>20000.0</v>
      </c>
    </row>
    <row r="18">
      <c r="A18" s="2" t="str">
        <f>vlookup(C18,'Refernce Sheet'!A:B,2,FALSE)</f>
        <v>Maintenance</v>
      </c>
      <c r="B18" s="6">
        <v>45968.0</v>
      </c>
      <c r="C18" s="1" t="s">
        <v>45</v>
      </c>
      <c r="D18" s="1">
        <v>16000.0</v>
      </c>
    </row>
    <row r="19">
      <c r="A19" s="2" t="str">
        <f>vlookup(C19,'Refernce Sheet'!A:B,2,FALSE)</f>
        <v>RF3</v>
      </c>
      <c r="C19" s="1" t="s">
        <v>50</v>
      </c>
      <c r="E19" s="1">
        <v>2600.0</v>
      </c>
    </row>
    <row r="20">
      <c r="A20" s="2" t="str">
        <f>vlookup(C20,'Refernce Sheet'!A:B,2,FALSE)</f>
        <v>RG3</v>
      </c>
      <c r="C20" s="1" t="s">
        <v>95</v>
      </c>
      <c r="E20" s="1">
        <v>2600.0</v>
      </c>
      <c r="F20" s="1" t="s">
        <v>97</v>
      </c>
    </row>
    <row r="21">
      <c r="A21" s="2" t="str">
        <f>vlookup(C21,'Refernce Sheet'!A:B,2,FALSE)</f>
        <v>RS3</v>
      </c>
      <c r="C21" s="1" t="s">
        <v>32</v>
      </c>
      <c r="E21" s="1">
        <v>2600.0</v>
      </c>
    </row>
    <row r="22">
      <c r="A22" s="2" t="str">
        <f>vlookup(C22,'Refernce Sheet'!A:B,2,FALSE)</f>
        <v>RF2</v>
      </c>
      <c r="C22" s="1" t="s">
        <v>34</v>
      </c>
      <c r="E22" s="1">
        <v>2600.0</v>
      </c>
    </row>
    <row r="23">
      <c r="A23" s="2" t="str">
        <f>vlookup(C23,'Refernce Sheet'!A:B,2,FALSE)</f>
        <v>VS3</v>
      </c>
      <c r="C23" s="1" t="s">
        <v>47</v>
      </c>
      <c r="E23" s="1">
        <v>2600.0</v>
      </c>
    </row>
    <row r="24">
      <c r="A24" s="2" t="str">
        <f>vlookup(C24,'Refernce Sheet'!A:B,2,FALSE)</f>
        <v>KG2</v>
      </c>
      <c r="C24" s="1" t="s">
        <v>40</v>
      </c>
      <c r="E24" s="1">
        <v>2600.0</v>
      </c>
    </row>
    <row r="25">
      <c r="A25" s="2" t="str">
        <f>vlookup(C25,'Refernce Sheet'!A:B,2,FALSE)</f>
        <v>VS2</v>
      </c>
      <c r="C25" s="1" t="s">
        <v>44</v>
      </c>
      <c r="E25" s="1">
        <v>2600.0</v>
      </c>
    </row>
    <row r="26">
      <c r="A26" s="2" t="str">
        <f>vlookup(C26,'Refernce Sheet'!A:B,2,FALSE)</f>
        <v>BESCOM</v>
      </c>
      <c r="B26" s="6">
        <v>45978.0</v>
      </c>
      <c r="C26" s="1" t="s">
        <v>69</v>
      </c>
      <c r="D26" s="1">
        <v>2534.0</v>
      </c>
    </row>
    <row r="27">
      <c r="A27" s="2" t="str">
        <f>vlookup(C27,'Refernce Sheet'!A:B,2,FALSE)</f>
        <v>BESCOM</v>
      </c>
      <c r="C27" s="1" t="s">
        <v>69</v>
      </c>
      <c r="D27" s="1">
        <v>5668.0</v>
      </c>
    </row>
    <row r="28">
      <c r="A28" s="2" t="str">
        <f>vlookup(C28,'Refernce Sheet'!A:B,2,FALSE)</f>
        <v>BESCOM</v>
      </c>
      <c r="C28" s="1" t="s">
        <v>69</v>
      </c>
      <c r="D28" s="1">
        <v>2527.0</v>
      </c>
    </row>
    <row r="29">
      <c r="A29" s="2" t="str">
        <f>vlookup(C29,'Refernce Sheet'!A:B,2,FALSE)</f>
        <v>Bank</v>
      </c>
      <c r="B29" s="6">
        <v>45985.0</v>
      </c>
      <c r="C29" s="1" t="s">
        <v>73</v>
      </c>
      <c r="D29" s="1">
        <v>59.0</v>
      </c>
      <c r="F29" s="1" t="s">
        <v>98</v>
      </c>
    </row>
    <row r="30">
      <c r="A30" s="2" t="str">
        <f>vlookup(C30,'Refernce Sheet'!A:B,2,FALSE)</f>
        <v>KG3</v>
      </c>
      <c r="C30" s="1" t="s">
        <v>14</v>
      </c>
      <c r="E30" s="1">
        <v>2600.0</v>
      </c>
    </row>
    <row r="31">
      <c r="A31" s="2" t="str">
        <f>vlookup(C31,'Refernce Sheet'!A:B,2,FALSE)</f>
        <v>#N/A</v>
      </c>
      <c r="C31" s="3"/>
    </row>
    <row r="32">
      <c r="A32" s="2" t="str">
        <f>vlookup(C32,'Refernce Sheet'!A:B,2,FALSE)</f>
        <v>#N/A</v>
      </c>
      <c r="C32" s="3"/>
    </row>
    <row r="33">
      <c r="A33" s="2" t="str">
        <f>vlookup(C33,'Refernce Sheet'!A:B,2,FALSE)</f>
        <v>#N/A</v>
      </c>
      <c r="C33" s="3"/>
    </row>
    <row r="34">
      <c r="A34" s="2" t="str">
        <f>vlookup(C34,'Refernce Sheet'!A:B,2,FALSE)</f>
        <v>#N/A</v>
      </c>
      <c r="C34" s="3"/>
    </row>
    <row r="35">
      <c r="D35" s="1" t="s">
        <v>3</v>
      </c>
      <c r="E35" s="1" t="s">
        <v>4</v>
      </c>
    </row>
    <row r="37">
      <c r="F37" s="1" t="s">
        <v>5</v>
      </c>
    </row>
    <row r="38">
      <c r="D38" s="3">
        <f>SUM(D2:D37)</f>
        <v>86188</v>
      </c>
      <c r="E38" s="3">
        <f>sum(E2:E37)</f>
        <v>54600</v>
      </c>
      <c r="F38" s="8">
        <f>E38-D38+E1</f>
        <v>202121.9</v>
      </c>
    </row>
  </sheetData>
  <conditionalFormatting sqref="C31">
    <cfRule type="notContainsBlanks" dxfId="0" priority="1">
      <formula>LEN(TRIM(C31))&gt;0</formula>
    </cfRule>
  </conditionalFormatting>
  <dataValidations>
    <dataValidation type="list" allowBlank="1" showErrorMessage="1" sqref="C2:C34">
      <formula1>'Refernce Sheet'!$A$2:$A$46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 t="s">
        <v>0</v>
      </c>
      <c r="B1" s="1" t="s">
        <v>1</v>
      </c>
      <c r="C1" s="1" t="s">
        <v>2</v>
      </c>
      <c r="E1" s="8">
        <v>202121.90000000002</v>
      </c>
    </row>
    <row r="2">
      <c r="A2" s="2" t="str">
        <f>vlookup(C2,'Refernce Sheet'!A:B,2,FALSE)</f>
        <v>Bank Interest</v>
      </c>
      <c r="B2" s="10">
        <v>46034.0</v>
      </c>
      <c r="C2" s="1" t="s">
        <v>92</v>
      </c>
      <c r="E2" s="1">
        <v>1398.0</v>
      </c>
    </row>
    <row r="3">
      <c r="A3" s="2" t="str">
        <f>vlookup(C3,'Refernce Sheet'!A:B,2,FALSE)</f>
        <v>VF3</v>
      </c>
      <c r="C3" s="1" t="s">
        <v>38</v>
      </c>
      <c r="E3" s="1">
        <v>2600.0</v>
      </c>
    </row>
    <row r="4">
      <c r="A4" s="2" t="str">
        <f>vlookup(C4,'Refernce Sheet'!A:B,2,FALSE)</f>
        <v>KF1</v>
      </c>
      <c r="C4" s="1" t="s">
        <v>58</v>
      </c>
      <c r="E4" s="1">
        <v>2600.0</v>
      </c>
    </row>
    <row r="5">
      <c r="A5" s="2" t="str">
        <f>vlookup(C5,'Refernce Sheet'!A:B,2,FALSE)</f>
        <v>RG1</v>
      </c>
      <c r="C5" s="1" t="s">
        <v>10</v>
      </c>
      <c r="E5" s="1">
        <v>2600.0</v>
      </c>
    </row>
    <row r="6">
      <c r="A6" s="2" t="str">
        <f>vlookup(C6,'Refernce Sheet'!A:B,2,FALSE)</f>
        <v>KS2</v>
      </c>
      <c r="C6" s="1" t="s">
        <v>67</v>
      </c>
      <c r="E6" s="1">
        <v>2600.0</v>
      </c>
    </row>
    <row r="7">
      <c r="A7" s="2" t="str">
        <f>vlookup(C7,'Refernce Sheet'!A:B,2,FALSE)</f>
        <v>KG4</v>
      </c>
      <c r="C7" s="1" t="s">
        <v>12</v>
      </c>
      <c r="E7" s="1">
        <v>2600.0</v>
      </c>
    </row>
    <row r="8">
      <c r="A8" s="2" t="str">
        <f>vlookup(C8,'Refernce Sheet'!A:B,2,FALSE)</f>
        <v>BWSSB</v>
      </c>
      <c r="B8" s="10">
        <v>45700.0</v>
      </c>
      <c r="C8" s="1" t="s">
        <v>53</v>
      </c>
      <c r="D8" s="1">
        <v>11548.0</v>
      </c>
    </row>
    <row r="9">
      <c r="A9" s="2" t="str">
        <f>vlookup(C9,'Refernce Sheet'!A:B,2,FALSE)</f>
        <v>VF2</v>
      </c>
      <c r="C9" s="1" t="s">
        <v>28</v>
      </c>
      <c r="E9" s="1">
        <v>2600.0</v>
      </c>
    </row>
    <row r="10">
      <c r="A10" s="2" t="str">
        <f>vlookup(C10,'Refernce Sheet'!A:B,2,FALSE)</f>
        <v>KF2</v>
      </c>
      <c r="C10" s="1" t="s">
        <v>18</v>
      </c>
      <c r="E10" s="1">
        <v>2600.0</v>
      </c>
    </row>
    <row r="11">
      <c r="A11" s="2" t="str">
        <f>vlookup(C11,'Refernce Sheet'!A:B,2,FALSE)</f>
        <v>VS2</v>
      </c>
      <c r="C11" s="1" t="s">
        <v>44</v>
      </c>
      <c r="E11" s="1">
        <v>2600.0</v>
      </c>
    </row>
    <row r="12">
      <c r="A12" s="2" t="str">
        <f>vlookup(C12,'Refernce Sheet'!A:B,2,FALSE)</f>
        <v>RG2</v>
      </c>
      <c r="C12" s="1" t="s">
        <v>26</v>
      </c>
      <c r="E12" s="1">
        <v>2600.0</v>
      </c>
    </row>
    <row r="13">
      <c r="A13" s="2" t="str">
        <f>vlookup(C13,'Refernce Sheet'!A:B,2,FALSE)</f>
        <v>KF3</v>
      </c>
      <c r="C13" s="1" t="s">
        <v>24</v>
      </c>
      <c r="E13" s="1">
        <v>2600.0</v>
      </c>
    </row>
    <row r="14">
      <c r="A14" s="2" t="str">
        <f>vlookup(C14,'Refernce Sheet'!A:B,2,FALSE)</f>
        <v>KS1</v>
      </c>
      <c r="C14" s="1" t="s">
        <v>20</v>
      </c>
      <c r="E14" s="1">
        <v>2600.0</v>
      </c>
    </row>
    <row r="15">
      <c r="A15" s="2" t="str">
        <f>vlookup(C15,'Refernce Sheet'!A:B,2,FALSE)</f>
        <v>KG1</v>
      </c>
      <c r="C15" s="1" t="s">
        <v>90</v>
      </c>
      <c r="E15" s="1">
        <v>2600.0</v>
      </c>
    </row>
    <row r="16">
      <c r="A16" s="2" t="str">
        <f>vlookup(C16,'Refernce Sheet'!A:B,2,FALSE)</f>
        <v>Security</v>
      </c>
      <c r="B16" s="10">
        <v>46185.0</v>
      </c>
      <c r="C16" s="1" t="s">
        <v>66</v>
      </c>
      <c r="D16" s="1">
        <v>29000.0</v>
      </c>
      <c r="L16" s="1">
        <v>11548.0</v>
      </c>
    </row>
    <row r="17">
      <c r="A17" s="2" t="str">
        <f>vlookup(C17,'Refernce Sheet'!A:B,2,FALSE)</f>
        <v>VF1</v>
      </c>
      <c r="C17" s="1" t="s">
        <v>62</v>
      </c>
      <c r="E17" s="1">
        <v>2600.0</v>
      </c>
      <c r="L17" s="1">
        <v>29000.0</v>
      </c>
    </row>
    <row r="18">
      <c r="A18" s="2" t="str">
        <f>vlookup(C18,'Refernce Sheet'!A:B,2,FALSE)</f>
        <v>RF2</v>
      </c>
      <c r="C18" s="1" t="s">
        <v>34</v>
      </c>
      <c r="E18" s="1">
        <v>2600.0</v>
      </c>
      <c r="L18" s="1">
        <v>10030.0</v>
      </c>
    </row>
    <row r="19">
      <c r="A19" s="2" t="str">
        <f>vlookup(C19,'Refernce Sheet'!A:B,2,FALSE)</f>
        <v>RG3</v>
      </c>
      <c r="C19" s="1" t="s">
        <v>42</v>
      </c>
      <c r="E19" s="1">
        <v>2600.0</v>
      </c>
      <c r="F19" s="1" t="s">
        <v>99</v>
      </c>
      <c r="L19" s="1">
        <v>16000.0</v>
      </c>
    </row>
    <row r="20">
      <c r="A20" s="2" t="str">
        <f>vlookup(C20,'Refernce Sheet'!A:B,2,FALSE)</f>
        <v>RF3</v>
      </c>
      <c r="C20" s="1" t="s">
        <v>50</v>
      </c>
      <c r="E20" s="1">
        <v>2600.0</v>
      </c>
      <c r="L20" s="1">
        <v>47.2</v>
      </c>
    </row>
    <row r="21">
      <c r="A21" s="2" t="str">
        <f>vlookup(C21,'Refernce Sheet'!A:B,2,FALSE)</f>
        <v>RS3</v>
      </c>
      <c r="C21" s="1" t="s">
        <v>32</v>
      </c>
      <c r="E21" s="1">
        <v>2600.0</v>
      </c>
      <c r="L21" s="1">
        <v>2555.0</v>
      </c>
    </row>
    <row r="22">
      <c r="A22" s="2" t="str">
        <f>vlookup(C22,'Refernce Sheet'!A:B,2,FALSE)</f>
        <v>KG2</v>
      </c>
      <c r="C22" s="1" t="s">
        <v>40</v>
      </c>
      <c r="E22" s="1">
        <v>2600.0</v>
      </c>
      <c r="L22" s="1">
        <v>5701.0</v>
      </c>
    </row>
    <row r="23">
      <c r="A23" s="2" t="str">
        <f>vlookup(C23,'Refernce Sheet'!A:B,2,FALSE)</f>
        <v>VS3</v>
      </c>
      <c r="C23" s="1" t="s">
        <v>47</v>
      </c>
      <c r="E23" s="1">
        <v>2600.0</v>
      </c>
      <c r="L23" s="1">
        <v>2520.0</v>
      </c>
    </row>
    <row r="24">
      <c r="A24" s="2" t="str">
        <f>vlookup(C24,'Refernce Sheet'!A:B,2,FALSE)</f>
        <v>Generator</v>
      </c>
      <c r="C24" s="1" t="s">
        <v>72</v>
      </c>
      <c r="D24" s="1">
        <v>10030.0</v>
      </c>
      <c r="F24" s="1" t="s">
        <v>100</v>
      </c>
      <c r="L24" s="1">
        <v>10365.0</v>
      </c>
    </row>
    <row r="25">
      <c r="A25" s="2" t="str">
        <f>vlookup(C25,'Refernce Sheet'!A:B,2,FALSE)</f>
        <v>Maintenance</v>
      </c>
      <c r="C25" s="1" t="s">
        <v>45</v>
      </c>
      <c r="D25" s="1">
        <v>16000.0</v>
      </c>
      <c r="L25" s="1">
        <v>25000.0</v>
      </c>
    </row>
    <row r="26">
      <c r="A26" s="2" t="str">
        <f>vlookup(C26,'Refernce Sheet'!A:B,2,FALSE)</f>
        <v>Bank</v>
      </c>
      <c r="C26" s="1" t="s">
        <v>73</v>
      </c>
      <c r="D26" s="1">
        <v>47.2</v>
      </c>
      <c r="L26" s="1">
        <v>118.0</v>
      </c>
    </row>
    <row r="27">
      <c r="A27" s="2" t="str">
        <f>vlookup(C27,'Refernce Sheet'!A:B,2,FALSE)</f>
        <v>BESCOM</v>
      </c>
      <c r="B27" s="1" t="s">
        <v>101</v>
      </c>
      <c r="C27" s="1" t="s">
        <v>69</v>
      </c>
      <c r="D27" s="1">
        <v>2555.0</v>
      </c>
    </row>
    <row r="28">
      <c r="A28" s="2" t="str">
        <f>vlookup(C28,'Refernce Sheet'!A:B,2,FALSE)</f>
        <v>BESCOM</v>
      </c>
      <c r="C28" s="1" t="s">
        <v>69</v>
      </c>
      <c r="D28" s="1">
        <v>5701.0</v>
      </c>
    </row>
    <row r="29">
      <c r="A29" s="2" t="str">
        <f>vlookup(C29,'Refernce Sheet'!A:B,2,FALSE)</f>
        <v>BESCOM</v>
      </c>
      <c r="C29" s="1" t="s">
        <v>69</v>
      </c>
      <c r="D29" s="1">
        <v>2520.0</v>
      </c>
    </row>
    <row r="30">
      <c r="A30" s="2" t="str">
        <f>vlookup(C30,'Refernce Sheet'!A:B,2,FALSE)</f>
        <v>BWSSB</v>
      </c>
      <c r="B30" s="1" t="s">
        <v>101</v>
      </c>
      <c r="C30" s="1" t="s">
        <v>53</v>
      </c>
      <c r="D30" s="1">
        <v>10365.0</v>
      </c>
      <c r="I30" s="3">
        <f>D30+D8</f>
        <v>21913</v>
      </c>
    </row>
    <row r="31">
      <c r="A31" s="2" t="str">
        <f>vlookup(C31,'Refernce Sheet'!A:B,2,FALSE)</f>
        <v>Cash</v>
      </c>
      <c r="C31" s="1" t="s">
        <v>71</v>
      </c>
      <c r="D31" s="1">
        <v>25000.0</v>
      </c>
    </row>
    <row r="32">
      <c r="A32" s="2" t="str">
        <f>vlookup(C32,'Refernce Sheet'!A:B,2,FALSE)</f>
        <v>Bank</v>
      </c>
      <c r="C32" s="1" t="s">
        <v>73</v>
      </c>
      <c r="D32" s="1">
        <v>118.0</v>
      </c>
      <c r="I32" s="3">
        <f>D32+D26</f>
        <v>165.2</v>
      </c>
    </row>
    <row r="33">
      <c r="A33" s="2" t="str">
        <f>vlookup(C33,'Refernce Sheet'!A:B,2,FALSE)</f>
        <v>KS2</v>
      </c>
      <c r="C33" s="1" t="s">
        <v>67</v>
      </c>
      <c r="E33" s="1">
        <v>2600.0</v>
      </c>
    </row>
    <row r="34">
      <c r="A34" s="2" t="str">
        <f>vlookup(C34,'Refernce Sheet'!A:B,2,FALSE)</f>
        <v>#N/A</v>
      </c>
      <c r="C34" s="3"/>
    </row>
    <row r="35">
      <c r="D35" s="1" t="s">
        <v>3</v>
      </c>
      <c r="E35" s="1" t="s">
        <v>4</v>
      </c>
    </row>
    <row r="37">
      <c r="F37" s="1" t="s">
        <v>5</v>
      </c>
    </row>
    <row r="38">
      <c r="D38" s="3">
        <f>SUM(D2:D37)</f>
        <v>112884.2</v>
      </c>
      <c r="E38" s="3">
        <f>sum(E2:E37)</f>
        <v>53398</v>
      </c>
      <c r="F38" s="8">
        <f>E38+E1-D38</f>
        <v>142635.7</v>
      </c>
      <c r="H38" s="3">
        <f>E38-1398</f>
        <v>52000</v>
      </c>
    </row>
    <row r="40">
      <c r="E40" s="3">
        <f>E38-E2</f>
        <v>52000</v>
      </c>
    </row>
  </sheetData>
  <conditionalFormatting sqref="C31">
    <cfRule type="notContainsBlanks" dxfId="0" priority="1">
      <formula>LEN(TRIM(C31))&gt;0</formula>
    </cfRule>
  </conditionalFormatting>
  <dataValidations>
    <dataValidation type="list" allowBlank="1" showErrorMessage="1" sqref="C2:C34">
      <formula1>'Refernce Sheet'!$A$2:$A$42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 t="s">
        <v>0</v>
      </c>
      <c r="B1" s="1" t="s">
        <v>1</v>
      </c>
      <c r="C1" s="1" t="s">
        <v>2</v>
      </c>
      <c r="E1" s="8">
        <v>142635.7</v>
      </c>
    </row>
    <row r="2">
      <c r="A2" s="2" t="str">
        <f>vlookup(C2,'Refernce Sheet'!A:B,2,FALSE)</f>
        <v>VG3</v>
      </c>
      <c r="C2" s="1" t="s">
        <v>8</v>
      </c>
      <c r="E2" s="1">
        <v>7800.0</v>
      </c>
    </row>
    <row r="3">
      <c r="A3" s="2" t="str">
        <f>vlookup(C3,'Refernce Sheet'!A:B,2,FALSE)</f>
        <v>KG3</v>
      </c>
      <c r="C3" s="1" t="s">
        <v>14</v>
      </c>
      <c r="E3" s="1">
        <v>2600.0</v>
      </c>
      <c r="G3" s="1" t="s">
        <v>102</v>
      </c>
      <c r="I3" s="12"/>
      <c r="J3" s="12"/>
      <c r="K3" s="13"/>
    </row>
    <row r="4">
      <c r="A4" s="2" t="str">
        <f>vlookup(C4,'Refernce Sheet'!A:B,2,FALSE)</f>
        <v>KF2</v>
      </c>
      <c r="C4" s="1" t="s">
        <v>18</v>
      </c>
      <c r="E4" s="1">
        <v>2600.0</v>
      </c>
      <c r="I4" s="12"/>
      <c r="J4" s="12"/>
      <c r="K4" s="13"/>
    </row>
    <row r="5">
      <c r="A5" s="2" t="str">
        <f>vlookup(C5,'Refernce Sheet'!A:B,2,FALSE)</f>
        <v>RG1</v>
      </c>
      <c r="C5" s="1" t="s">
        <v>10</v>
      </c>
      <c r="E5" s="1">
        <v>2600.0</v>
      </c>
      <c r="I5" s="12"/>
      <c r="J5" s="12"/>
      <c r="K5" s="13"/>
    </row>
    <row r="6">
      <c r="A6" s="2" t="str">
        <f>vlookup(C6,'Refernce Sheet'!A:B,2,FALSE)</f>
        <v>KG4</v>
      </c>
      <c r="C6" s="1" t="s">
        <v>12</v>
      </c>
      <c r="E6" s="1">
        <v>2600.0</v>
      </c>
      <c r="I6" s="12"/>
      <c r="J6" s="12"/>
      <c r="K6" s="13"/>
    </row>
    <row r="7">
      <c r="A7" s="2" t="str">
        <f>vlookup(C7,'Refernce Sheet'!A:B,2,FALSE)</f>
        <v>RF3</v>
      </c>
      <c r="C7" s="1" t="s">
        <v>50</v>
      </c>
      <c r="E7" s="1">
        <v>2600.0</v>
      </c>
      <c r="I7" s="12"/>
      <c r="J7" s="12"/>
      <c r="K7" s="13"/>
    </row>
    <row r="8">
      <c r="A8" s="2" t="str">
        <f>vlookup(C8,'Refernce Sheet'!A:B,2,FALSE)</f>
        <v>KS1</v>
      </c>
      <c r="C8" s="1" t="s">
        <v>20</v>
      </c>
      <c r="E8" s="1">
        <v>2600.0</v>
      </c>
      <c r="I8" s="12"/>
      <c r="J8" s="12"/>
      <c r="K8" s="13"/>
    </row>
    <row r="9">
      <c r="A9" s="2" t="str">
        <f>vlookup(C9,'Refernce Sheet'!A:B,2,FALSE)</f>
        <v>VS2</v>
      </c>
      <c r="C9" s="1" t="s">
        <v>44</v>
      </c>
      <c r="E9" s="1">
        <v>2600.0</v>
      </c>
      <c r="I9" s="12"/>
      <c r="J9" s="12"/>
      <c r="K9" s="13"/>
    </row>
    <row r="10">
      <c r="A10" s="2" t="str">
        <f>vlookup(C10,'Refernce Sheet'!A:B,2,FALSE)</f>
        <v>KF3</v>
      </c>
      <c r="C10" s="1" t="s">
        <v>24</v>
      </c>
      <c r="E10" s="1">
        <v>2600.0</v>
      </c>
      <c r="I10" s="12"/>
      <c r="J10" s="12"/>
      <c r="K10" s="13"/>
    </row>
    <row r="11">
      <c r="A11" s="2" t="str">
        <f>vlookup(C11,'Refernce Sheet'!A:B,2,FALSE)</f>
        <v>RG2</v>
      </c>
      <c r="C11" s="1" t="s">
        <v>26</v>
      </c>
      <c r="E11" s="1">
        <v>2600.0</v>
      </c>
      <c r="I11" s="12"/>
      <c r="J11" s="12"/>
      <c r="K11" s="13"/>
    </row>
    <row r="12">
      <c r="A12" s="2" t="str">
        <f>vlookup(C12,'Refernce Sheet'!A:B,2,FALSE)</f>
        <v>VF2</v>
      </c>
      <c r="C12" s="1" t="s">
        <v>28</v>
      </c>
      <c r="E12" s="1">
        <v>2600.0</v>
      </c>
      <c r="I12" s="12"/>
      <c r="J12" s="12"/>
      <c r="K12" s="13"/>
    </row>
    <row r="13">
      <c r="A13" s="2" t="str">
        <f>vlookup(C13,'Refernce Sheet'!A:B,2,FALSE)</f>
        <v>VF1</v>
      </c>
      <c r="C13" s="1" t="s">
        <v>62</v>
      </c>
      <c r="E13" s="1">
        <v>2600.0</v>
      </c>
      <c r="I13" s="12"/>
      <c r="J13" s="12"/>
      <c r="K13" s="13"/>
    </row>
    <row r="14">
      <c r="A14" s="2" t="str">
        <f>vlookup(C14,'Refernce Sheet'!A:B,2,FALSE)</f>
        <v>RF2</v>
      </c>
      <c r="C14" s="1" t="s">
        <v>34</v>
      </c>
      <c r="E14" s="1">
        <v>2600.0</v>
      </c>
      <c r="I14" s="12"/>
      <c r="J14" s="12"/>
      <c r="K14" s="13"/>
    </row>
    <row r="15">
      <c r="A15" s="2" t="str">
        <f>vlookup(C15,'Refernce Sheet'!A:B,2,FALSE)</f>
        <v>VG2</v>
      </c>
      <c r="C15" s="1" t="s">
        <v>56</v>
      </c>
      <c r="E15" s="1">
        <v>7800.0</v>
      </c>
      <c r="I15" s="12"/>
      <c r="J15" s="12"/>
      <c r="K15" s="13"/>
    </row>
    <row r="16">
      <c r="A16" s="2" t="str">
        <f>vlookup(C16,'Refernce Sheet'!A:B,2,FALSE)</f>
        <v>RS3</v>
      </c>
      <c r="C16" s="1" t="s">
        <v>32</v>
      </c>
      <c r="E16" s="1">
        <v>2600.0</v>
      </c>
      <c r="I16" s="12"/>
      <c r="J16" s="12"/>
      <c r="K16" s="13"/>
    </row>
    <row r="17">
      <c r="A17" s="2" t="str">
        <f>vlookup(C17,'Refernce Sheet'!A:B,2,FALSE)</f>
        <v>RS2</v>
      </c>
      <c r="C17" s="1" t="s">
        <v>16</v>
      </c>
      <c r="E17" s="1">
        <v>2600.0</v>
      </c>
      <c r="I17" s="12"/>
      <c r="J17" s="12"/>
      <c r="K17" s="13"/>
    </row>
    <row r="18">
      <c r="A18" s="2" t="str">
        <f>vlookup(C18,'Refernce Sheet'!A:B,2,FALSE)</f>
        <v>VS3</v>
      </c>
      <c r="C18" s="1" t="s">
        <v>47</v>
      </c>
      <c r="E18" s="1">
        <v>2600.0</v>
      </c>
      <c r="I18" s="12"/>
      <c r="J18" s="12"/>
      <c r="K18" s="13"/>
    </row>
    <row r="19">
      <c r="A19" s="2" t="str">
        <f>vlookup(C19,'Refernce Sheet'!A:B,2,FALSE)</f>
        <v>RG3</v>
      </c>
      <c r="C19" s="1" t="s">
        <v>95</v>
      </c>
      <c r="E19" s="1">
        <v>2600.0</v>
      </c>
      <c r="F19" s="1" t="s">
        <v>97</v>
      </c>
      <c r="I19" s="12"/>
      <c r="J19" s="12"/>
      <c r="K19" s="13"/>
    </row>
    <row r="20">
      <c r="A20" s="2" t="str">
        <f>vlookup(C20,'Refernce Sheet'!A:B,2,FALSE)</f>
        <v>KG1</v>
      </c>
      <c r="C20" s="1" t="s">
        <v>90</v>
      </c>
      <c r="E20" s="1">
        <v>2600.0</v>
      </c>
      <c r="F20" s="1" t="s">
        <v>103</v>
      </c>
      <c r="I20" s="12"/>
      <c r="J20" s="12"/>
      <c r="K20" s="13"/>
    </row>
    <row r="21">
      <c r="A21" s="2" t="str">
        <f>vlookup(C21,'Refernce Sheet'!A:B,2,FALSE)</f>
        <v>KG3</v>
      </c>
      <c r="C21" s="1" t="s">
        <v>14</v>
      </c>
      <c r="E21" s="1">
        <v>2600.0</v>
      </c>
      <c r="I21" s="12"/>
      <c r="J21" s="12"/>
      <c r="K21" s="13"/>
    </row>
    <row r="22">
      <c r="A22" s="2" t="str">
        <f>vlookup(C22,'Refernce Sheet'!A:B,2,FALSE)</f>
        <v>Maintenance</v>
      </c>
      <c r="B22" s="4">
        <v>46029.0</v>
      </c>
      <c r="C22" s="1" t="s">
        <v>45</v>
      </c>
      <c r="D22" s="1">
        <v>16000.0</v>
      </c>
      <c r="I22" s="12"/>
      <c r="J22" s="12"/>
      <c r="K22" s="13"/>
    </row>
    <row r="23">
      <c r="A23" s="2" t="str">
        <f>vlookup(C23,'Refernce Sheet'!A:B,2,FALSE)</f>
        <v>Security</v>
      </c>
      <c r="B23" s="4">
        <v>46034.0</v>
      </c>
      <c r="C23" s="1" t="s">
        <v>66</v>
      </c>
      <c r="D23" s="1">
        <v>29000.0</v>
      </c>
    </row>
    <row r="24">
      <c r="A24" s="2" t="str">
        <f>vlookup(C24,'Refernce Sheet'!A:B,2,FALSE)</f>
        <v>BWSSB</v>
      </c>
      <c r="B24" s="4">
        <v>46038.0</v>
      </c>
      <c r="C24" s="1" t="s">
        <v>53</v>
      </c>
      <c r="D24" s="1">
        <v>10225.0</v>
      </c>
    </row>
    <row r="25">
      <c r="A25" s="2" t="str">
        <f>vlookup(C25,'Refernce Sheet'!A:B,2,FALSE)</f>
        <v>BESCOM</v>
      </c>
      <c r="B25" s="4">
        <v>46039.0</v>
      </c>
      <c r="C25" s="1" t="s">
        <v>69</v>
      </c>
      <c r="D25" s="1">
        <v>2553.0</v>
      </c>
    </row>
    <row r="26">
      <c r="A26" s="2" t="str">
        <f>vlookup(C26,'Refernce Sheet'!A:B,2,FALSE)</f>
        <v>BESCOM</v>
      </c>
      <c r="B26" s="4">
        <v>46039.0</v>
      </c>
      <c r="C26" s="1" t="s">
        <v>69</v>
      </c>
      <c r="D26" s="1">
        <v>2603.0</v>
      </c>
    </row>
    <row r="27">
      <c r="A27" s="2" t="str">
        <f>vlookup(C27,'Refernce Sheet'!A:B,2,FALSE)</f>
        <v>BESCOM</v>
      </c>
      <c r="B27" s="4">
        <v>46039.0</v>
      </c>
      <c r="C27" s="1" t="s">
        <v>69</v>
      </c>
      <c r="D27" s="1">
        <v>5849.0</v>
      </c>
    </row>
    <row r="28">
      <c r="A28" s="2" t="str">
        <f>vlookup(C28,'Refernce Sheet'!A:B,2,FALSE)</f>
        <v>#N/A</v>
      </c>
      <c r="C28" s="3"/>
    </row>
    <row r="29">
      <c r="A29" s="2" t="str">
        <f>vlookup(C29,'Refernce Sheet'!A:B,2,FALSE)</f>
        <v>#N/A</v>
      </c>
      <c r="C29" s="3"/>
    </row>
    <row r="30">
      <c r="A30" s="2" t="str">
        <f>vlookup(C30,'Refernce Sheet'!A:B,2,FALSE)</f>
        <v>#N/A</v>
      </c>
      <c r="C30" s="3"/>
    </row>
    <row r="31">
      <c r="A31" s="2" t="str">
        <f>vlookup(C31,'Refernce Sheet'!A:B,2,FALSE)</f>
        <v>#N/A</v>
      </c>
      <c r="C31" s="3"/>
    </row>
    <row r="32">
      <c r="A32" s="2" t="str">
        <f>vlookup(C32,'Refernce Sheet'!A:B,2,FALSE)</f>
        <v>#N/A</v>
      </c>
      <c r="C32" s="3"/>
    </row>
    <row r="33">
      <c r="A33" s="2" t="str">
        <f>vlookup(C33,'Refernce Sheet'!A:B,2,FALSE)</f>
        <v>#N/A</v>
      </c>
      <c r="C33" s="3"/>
    </row>
    <row r="34">
      <c r="A34" s="2" t="str">
        <f>vlookup(C34,'Refernce Sheet'!A:B,2,FALSE)</f>
        <v>#N/A</v>
      </c>
      <c r="C34" s="3"/>
    </row>
    <row r="35">
      <c r="D35" s="1" t="s">
        <v>3</v>
      </c>
      <c r="E35" s="1" t="s">
        <v>4</v>
      </c>
    </row>
    <row r="37">
      <c r="F37" s="1" t="s">
        <v>5</v>
      </c>
    </row>
    <row r="38">
      <c r="D38" s="3">
        <f>SUM(D2:D37)</f>
        <v>66230</v>
      </c>
      <c r="E38" s="3">
        <f>sum(E2:E37)</f>
        <v>62400</v>
      </c>
      <c r="F38" s="8">
        <f>E38-D38+E1</f>
        <v>138805.7</v>
      </c>
    </row>
    <row r="39">
      <c r="E39" s="8">
        <f>E38+E1</f>
        <v>205035.7</v>
      </c>
      <c r="F39" s="8">
        <f>E39-D38</f>
        <v>138805.7</v>
      </c>
    </row>
  </sheetData>
  <conditionalFormatting sqref="C31">
    <cfRule type="notContainsBlanks" dxfId="0" priority="1">
      <formula>LEN(TRIM(C31))&gt;0</formula>
    </cfRule>
  </conditionalFormatting>
  <dataValidations>
    <dataValidation type="list" allowBlank="1" showErrorMessage="1" sqref="C2:C34">
      <formula1>'Refernce Sheet'!$A$2:$A$46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 t="s">
        <v>0</v>
      </c>
      <c r="B1" s="1" t="s">
        <v>1</v>
      </c>
      <c r="C1" s="1" t="s">
        <v>2</v>
      </c>
      <c r="E1" s="8">
        <v>138805.7</v>
      </c>
    </row>
    <row r="2">
      <c r="A2" s="2" t="str">
        <f>vlookup(C2,'Refernce Sheet'!A:B,2,FALSE)</f>
        <v>BESCOM</v>
      </c>
      <c r="B2" s="6">
        <v>46070.0</v>
      </c>
      <c r="C2" s="1" t="s">
        <v>69</v>
      </c>
      <c r="D2" s="1">
        <v>2495.0</v>
      </c>
    </row>
    <row r="3">
      <c r="A3" s="2" t="str">
        <f>vlookup(C3,'Refernce Sheet'!A:B,2,FALSE)</f>
        <v>BESCOM</v>
      </c>
      <c r="C3" s="1" t="s">
        <v>69</v>
      </c>
      <c r="D3" s="1">
        <v>2516.0</v>
      </c>
    </row>
    <row r="4">
      <c r="A4" s="2" t="str">
        <f>vlookup(C4,'Refernce Sheet'!A:B,2,FALSE)</f>
        <v>BESCOM</v>
      </c>
      <c r="C4" s="1" t="s">
        <v>69</v>
      </c>
      <c r="D4" s="1">
        <v>5659.0</v>
      </c>
    </row>
    <row r="5">
      <c r="A5" s="2" t="str">
        <f>vlookup(C5,'Refernce Sheet'!A:B,2,FALSE)</f>
        <v>BWSSB</v>
      </c>
      <c r="B5" s="6">
        <v>46076.0</v>
      </c>
      <c r="C5" s="1" t="s">
        <v>53</v>
      </c>
      <c r="D5" s="1">
        <v>10125.0</v>
      </c>
    </row>
    <row r="6">
      <c r="A6" s="2" t="str">
        <f>vlookup(C6,'Refernce Sheet'!A:B,2,FALSE)</f>
        <v>Maintenance</v>
      </c>
      <c r="B6" s="6">
        <v>46059.0</v>
      </c>
      <c r="C6" s="1" t="s">
        <v>45</v>
      </c>
      <c r="D6" s="1">
        <v>16000.0</v>
      </c>
    </row>
    <row r="7">
      <c r="A7" s="2" t="str">
        <f>vlookup(C7,'Refernce Sheet'!A:B,2,FALSE)</f>
        <v>Security</v>
      </c>
      <c r="B7" s="6">
        <v>46064.0</v>
      </c>
      <c r="C7" s="1" t="s">
        <v>66</v>
      </c>
      <c r="D7" s="1">
        <v>29000.0</v>
      </c>
    </row>
    <row r="8">
      <c r="A8" s="2" t="str">
        <f>vlookup(C8,'Refernce Sheet'!A:B,2,FALSE)</f>
        <v>Lift</v>
      </c>
      <c r="B8" s="6">
        <v>46079.0</v>
      </c>
      <c r="C8" s="1" t="s">
        <v>70</v>
      </c>
      <c r="D8" s="1">
        <v>177000.0</v>
      </c>
    </row>
    <row r="9">
      <c r="A9" s="2" t="str">
        <f>vlookup(C9,'Refernce Sheet'!A:B,2,FALSE)</f>
        <v>KF1</v>
      </c>
      <c r="C9" s="1" t="s">
        <v>58</v>
      </c>
      <c r="E9" s="1">
        <v>5200.0</v>
      </c>
    </row>
    <row r="10">
      <c r="A10" s="2" t="str">
        <f>vlookup(C10,'Refernce Sheet'!A:B,2,FALSE)</f>
        <v>KS2</v>
      </c>
      <c r="C10" s="1" t="s">
        <v>67</v>
      </c>
      <c r="E10" s="1">
        <v>2600.0</v>
      </c>
    </row>
    <row r="11">
      <c r="A11" s="2" t="str">
        <f>vlookup(C11,'Refernce Sheet'!A:B,2,FALSE)</f>
        <v>VF2</v>
      </c>
      <c r="C11" s="1" t="s">
        <v>28</v>
      </c>
      <c r="E11" s="1">
        <v>2600.0</v>
      </c>
    </row>
    <row r="12">
      <c r="A12" s="2" t="str">
        <f>vlookup(C12,'Refernce Sheet'!A:B,2,FALSE)</f>
        <v>KG4</v>
      </c>
      <c r="C12" s="1" t="s">
        <v>12</v>
      </c>
      <c r="E12" s="1">
        <v>2600.0</v>
      </c>
    </row>
    <row r="13">
      <c r="A13" s="2" t="str">
        <f>vlookup(C13,'Refernce Sheet'!A:B,2,FALSE)</f>
        <v>RS2</v>
      </c>
      <c r="C13" s="1" t="s">
        <v>16</v>
      </c>
      <c r="E13" s="1">
        <v>2600.0</v>
      </c>
    </row>
    <row r="14">
      <c r="A14" s="2" t="str">
        <f>vlookup(C14,'Refernce Sheet'!A:B,2,FALSE)</f>
        <v>KF2</v>
      </c>
      <c r="C14" s="1" t="s">
        <v>18</v>
      </c>
      <c r="E14" s="1">
        <v>2600.0</v>
      </c>
    </row>
    <row r="15">
      <c r="A15" s="2" t="str">
        <f>vlookup(C15,'Refernce Sheet'!A:B,2,FALSE)</f>
        <v>KF3</v>
      </c>
      <c r="C15" s="1" t="s">
        <v>24</v>
      </c>
      <c r="E15" s="1">
        <v>2600.0</v>
      </c>
    </row>
    <row r="16">
      <c r="A16" s="2" t="str">
        <f>vlookup(C16,'Refernce Sheet'!A:B,2,FALSE)</f>
        <v>KS1</v>
      </c>
      <c r="C16" s="1" t="s">
        <v>20</v>
      </c>
      <c r="E16" s="1">
        <v>2600.0</v>
      </c>
    </row>
    <row r="17">
      <c r="A17" s="2" t="str">
        <f>vlookup(C17,'Refernce Sheet'!A:B,2,FALSE)</f>
        <v>KG2</v>
      </c>
      <c r="C17" s="1" t="s">
        <v>40</v>
      </c>
      <c r="E17" s="1">
        <v>2600.0</v>
      </c>
    </row>
    <row r="18">
      <c r="A18" s="2" t="str">
        <f>vlookup(C18,'Refernce Sheet'!A:B,2,FALSE)</f>
        <v>VS2</v>
      </c>
      <c r="C18" s="1" t="s">
        <v>44</v>
      </c>
      <c r="E18" s="1">
        <v>2600.0</v>
      </c>
    </row>
    <row r="19">
      <c r="A19" s="2" t="str">
        <f>vlookup(C19,'Refernce Sheet'!A:B,2,FALSE)</f>
        <v>RG1</v>
      </c>
      <c r="C19" s="1" t="s">
        <v>10</v>
      </c>
      <c r="E19" s="1">
        <v>2600.0</v>
      </c>
    </row>
    <row r="20">
      <c r="A20" s="2" t="str">
        <f>vlookup(C20,'Refernce Sheet'!A:B,2,FALSE)</f>
        <v>RG2</v>
      </c>
      <c r="C20" s="1" t="s">
        <v>26</v>
      </c>
      <c r="E20" s="1">
        <v>2600.0</v>
      </c>
    </row>
    <row r="21">
      <c r="A21" s="2" t="str">
        <f>vlookup(C21,'Refernce Sheet'!A:B,2,FALSE)</f>
        <v>RF2</v>
      </c>
      <c r="C21" s="1" t="s">
        <v>34</v>
      </c>
      <c r="E21" s="1">
        <v>2600.0</v>
      </c>
    </row>
    <row r="22">
      <c r="A22" s="2" t="str">
        <f>vlookup(C22,'Refernce Sheet'!A:B,2,FALSE)</f>
        <v>KS4</v>
      </c>
      <c r="C22" s="1" t="s">
        <v>63</v>
      </c>
      <c r="E22" s="1">
        <v>7800.0</v>
      </c>
    </row>
    <row r="23">
      <c r="A23" s="2" t="str">
        <f>vlookup(C23,'Refernce Sheet'!A:B,2,FALSE)</f>
        <v>VF1</v>
      </c>
      <c r="C23" s="1" t="s">
        <v>62</v>
      </c>
      <c r="E23" s="1">
        <v>2600.0</v>
      </c>
    </row>
    <row r="24">
      <c r="A24" s="2" t="str">
        <f>vlookup(C24,'Refernce Sheet'!A:B,2,FALSE)</f>
        <v>RG3</v>
      </c>
      <c r="C24" s="1" t="s">
        <v>95</v>
      </c>
      <c r="E24" s="1">
        <v>2600.0</v>
      </c>
      <c r="F24" s="1" t="s">
        <v>97</v>
      </c>
    </row>
    <row r="25">
      <c r="A25" s="2" t="str">
        <f>vlookup(C25,'Refernce Sheet'!A:B,2,FALSE)</f>
        <v>VF3</v>
      </c>
      <c r="C25" s="1" t="s">
        <v>38</v>
      </c>
      <c r="E25" s="1">
        <v>2600.0</v>
      </c>
    </row>
    <row r="26">
      <c r="A26" s="2" t="str">
        <f>vlookup(C26,'Refernce Sheet'!A:B,2,FALSE)</f>
        <v>VF3</v>
      </c>
      <c r="C26" s="1" t="s">
        <v>38</v>
      </c>
      <c r="E26" s="1">
        <v>2600.0</v>
      </c>
    </row>
    <row r="27">
      <c r="A27" s="2" t="str">
        <f>vlookup(C27,'Refernce Sheet'!A:B,2,FALSE)</f>
        <v>KG1</v>
      </c>
      <c r="C27" s="1" t="s">
        <v>90</v>
      </c>
      <c r="E27" s="1">
        <v>2600.0</v>
      </c>
      <c r="F27" s="1" t="s">
        <v>104</v>
      </c>
    </row>
    <row r="28">
      <c r="A28" s="2" t="str">
        <f>vlookup(C28,'Refernce Sheet'!A:B,2,FALSE)</f>
        <v>RF3</v>
      </c>
      <c r="C28" s="1" t="s">
        <v>50</v>
      </c>
      <c r="E28" s="1">
        <v>2600.0</v>
      </c>
    </row>
    <row r="29">
      <c r="A29" s="2" t="str">
        <f>vlookup(C29,'Refernce Sheet'!A:B,2,FALSE)</f>
        <v>KG2</v>
      </c>
      <c r="C29" s="1" t="s">
        <v>40</v>
      </c>
      <c r="E29" s="1">
        <v>2600.0</v>
      </c>
    </row>
    <row r="30">
      <c r="A30" s="2" t="str">
        <f>vlookup(C30,'Refernce Sheet'!A:B,2,FALSE)</f>
        <v>VS3</v>
      </c>
      <c r="C30" s="1" t="s">
        <v>47</v>
      </c>
      <c r="E30" s="1">
        <v>2600.0</v>
      </c>
    </row>
    <row r="31">
      <c r="A31" s="2" t="str">
        <f>vlookup(C31,'Refernce Sheet'!A:B,2,FALSE)</f>
        <v>RS3</v>
      </c>
      <c r="C31" s="1" t="s">
        <v>32</v>
      </c>
      <c r="E31" s="1">
        <v>2600.0</v>
      </c>
    </row>
    <row r="32">
      <c r="A32" s="2" t="str">
        <f>vlookup(C32,'Refernce Sheet'!A:B,2,FALSE)</f>
        <v>KS3</v>
      </c>
      <c r="C32" s="1" t="s">
        <v>60</v>
      </c>
      <c r="E32" s="1">
        <v>10400.0</v>
      </c>
    </row>
    <row r="33">
      <c r="A33" s="2" t="str">
        <f>vlookup(C33,'Refernce Sheet'!A:B,2,FALSE)</f>
        <v>VG1</v>
      </c>
      <c r="C33" s="1" t="s">
        <v>52</v>
      </c>
      <c r="E33" s="1">
        <v>13800.0</v>
      </c>
    </row>
    <row r="34">
      <c r="A34" s="2" t="str">
        <f>vlookup(C34,'Refernce Sheet'!A:B,2,FALSE)</f>
        <v>Bank FD</v>
      </c>
      <c r="B34" s="6">
        <v>46077.0</v>
      </c>
      <c r="C34" s="1" t="s">
        <v>105</v>
      </c>
      <c r="E34" s="1">
        <v>215870.0</v>
      </c>
    </row>
    <row r="35">
      <c r="A35" s="2"/>
      <c r="C35" s="3"/>
    </row>
    <row r="36">
      <c r="A36" s="2"/>
      <c r="C36" s="3"/>
    </row>
    <row r="37">
      <c r="A37" s="2"/>
      <c r="C37" s="3"/>
    </row>
    <row r="38">
      <c r="A38" s="2"/>
      <c r="C38" s="3"/>
    </row>
    <row r="39">
      <c r="A39" s="2"/>
      <c r="C39" s="3"/>
    </row>
    <row r="41">
      <c r="D41" s="1" t="s">
        <v>3</v>
      </c>
      <c r="E41" s="1" t="s">
        <v>4</v>
      </c>
    </row>
    <row r="43">
      <c r="F43" s="1" t="s">
        <v>5</v>
      </c>
    </row>
    <row r="44">
      <c r="D44" s="3">
        <f>SUM(D2:D43)</f>
        <v>242795</v>
      </c>
      <c r="E44" s="3">
        <f>sum(E2:E43)</f>
        <v>307670</v>
      </c>
      <c r="F44" s="8">
        <f>E46-D44</f>
        <v>203680.7</v>
      </c>
      <c r="H44" s="3">
        <f>E44-E34</f>
        <v>91800</v>
      </c>
    </row>
    <row r="46">
      <c r="E46" s="8">
        <f>E44+E1</f>
        <v>446475.7</v>
      </c>
    </row>
  </sheetData>
  <autoFilter ref="$A$1:$Z$34">
    <sortState ref="A1:Z34">
      <sortCondition ref="D1:D34"/>
    </sortState>
  </autoFilter>
  <conditionalFormatting sqref="C31">
    <cfRule type="notContainsBlanks" dxfId="0" priority="1">
      <formula>LEN(TRIM(C31))&gt;0</formula>
    </cfRule>
  </conditionalFormatting>
  <dataValidations>
    <dataValidation type="list" allowBlank="1" showErrorMessage="1" sqref="C2:C39">
      <formula1>'Refernce Sheet'!$A$2:$A$50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1" t="s">
        <v>106</v>
      </c>
      <c r="B1" s="1" t="s">
        <v>0</v>
      </c>
    </row>
    <row r="2">
      <c r="A2" s="1" t="s">
        <v>73</v>
      </c>
      <c r="B2" s="1" t="s">
        <v>107</v>
      </c>
    </row>
    <row r="3">
      <c r="A3" s="1" t="s">
        <v>92</v>
      </c>
      <c r="B3" s="1" t="s">
        <v>108</v>
      </c>
    </row>
    <row r="4">
      <c r="A4" s="1" t="s">
        <v>69</v>
      </c>
      <c r="B4" s="1" t="s">
        <v>69</v>
      </c>
    </row>
    <row r="5">
      <c r="A5" s="1" t="s">
        <v>53</v>
      </c>
      <c r="B5" s="1" t="s">
        <v>65</v>
      </c>
    </row>
    <row r="6">
      <c r="A6" s="1" t="s">
        <v>71</v>
      </c>
      <c r="B6" s="1" t="s">
        <v>109</v>
      </c>
    </row>
    <row r="7">
      <c r="A7" s="1" t="s">
        <v>74</v>
      </c>
      <c r="B7" s="1" t="s">
        <v>110</v>
      </c>
    </row>
    <row r="8">
      <c r="A8" s="1" t="s">
        <v>72</v>
      </c>
      <c r="B8" s="1" t="s">
        <v>111</v>
      </c>
    </row>
    <row r="9">
      <c r="A9" s="1" t="s">
        <v>58</v>
      </c>
      <c r="B9" s="1" t="s">
        <v>57</v>
      </c>
    </row>
    <row r="10">
      <c r="A10" s="1" t="s">
        <v>18</v>
      </c>
      <c r="B10" s="1" t="s">
        <v>17</v>
      </c>
    </row>
    <row r="11">
      <c r="A11" s="1" t="s">
        <v>24</v>
      </c>
      <c r="B11" s="1" t="s">
        <v>23</v>
      </c>
    </row>
    <row r="12">
      <c r="A12" s="1" t="s">
        <v>68</v>
      </c>
      <c r="B12" s="1" t="s">
        <v>112</v>
      </c>
    </row>
    <row r="13">
      <c r="A13" s="1" t="s">
        <v>90</v>
      </c>
      <c r="B13" s="1" t="s">
        <v>21</v>
      </c>
    </row>
    <row r="14">
      <c r="A14" s="1" t="s">
        <v>40</v>
      </c>
      <c r="B14" s="1" t="s">
        <v>39</v>
      </c>
    </row>
    <row r="15">
      <c r="A15" s="1" t="s">
        <v>14</v>
      </c>
      <c r="B15" s="1" t="s">
        <v>13</v>
      </c>
    </row>
    <row r="16">
      <c r="A16" s="1" t="s">
        <v>12</v>
      </c>
      <c r="B16" s="1" t="s">
        <v>11</v>
      </c>
    </row>
    <row r="17">
      <c r="A17" s="1" t="s">
        <v>20</v>
      </c>
      <c r="B17" s="1" t="s">
        <v>19</v>
      </c>
    </row>
    <row r="18">
      <c r="A18" s="1" t="s">
        <v>30</v>
      </c>
      <c r="B18" s="1" t="s">
        <v>29</v>
      </c>
    </row>
    <row r="19">
      <c r="A19" s="1" t="s">
        <v>67</v>
      </c>
      <c r="B19" s="1" t="s">
        <v>29</v>
      </c>
    </row>
    <row r="20">
      <c r="A20" s="1" t="s">
        <v>60</v>
      </c>
      <c r="B20" s="1" t="s">
        <v>59</v>
      </c>
    </row>
    <row r="21">
      <c r="A21" s="1" t="s">
        <v>63</v>
      </c>
      <c r="B21" s="1" t="s">
        <v>113</v>
      </c>
    </row>
    <row r="22">
      <c r="A22" s="1" t="s">
        <v>70</v>
      </c>
      <c r="B22" s="1" t="s">
        <v>114</v>
      </c>
    </row>
    <row r="23">
      <c r="A23" s="1" t="s">
        <v>45</v>
      </c>
      <c r="B23" s="1" t="s">
        <v>115</v>
      </c>
    </row>
    <row r="24">
      <c r="A24" s="1" t="s">
        <v>2</v>
      </c>
      <c r="B24" s="1" t="s">
        <v>116</v>
      </c>
    </row>
    <row r="25">
      <c r="A25" s="1" t="s">
        <v>117</v>
      </c>
      <c r="B25" s="1" t="s">
        <v>117</v>
      </c>
    </row>
    <row r="26">
      <c r="A26" s="1" t="s">
        <v>82</v>
      </c>
      <c r="B26" s="1" t="s">
        <v>81</v>
      </c>
    </row>
    <row r="27">
      <c r="A27" s="1" t="s">
        <v>34</v>
      </c>
      <c r="B27" s="1" t="s">
        <v>33</v>
      </c>
    </row>
    <row r="28">
      <c r="A28" s="1" t="s">
        <v>50</v>
      </c>
      <c r="B28" s="1" t="s">
        <v>49</v>
      </c>
    </row>
    <row r="29">
      <c r="A29" s="1" t="s">
        <v>10</v>
      </c>
      <c r="B29" s="1" t="s">
        <v>9</v>
      </c>
    </row>
    <row r="30">
      <c r="A30" s="1" t="s">
        <v>26</v>
      </c>
      <c r="B30" s="1" t="s">
        <v>25</v>
      </c>
    </row>
    <row r="31">
      <c r="A31" s="1" t="s">
        <v>42</v>
      </c>
      <c r="B31" s="1" t="s">
        <v>41</v>
      </c>
    </row>
    <row r="32">
      <c r="A32" s="1" t="s">
        <v>95</v>
      </c>
      <c r="B32" s="1" t="s">
        <v>41</v>
      </c>
    </row>
    <row r="33">
      <c r="A33" s="1" t="s">
        <v>85</v>
      </c>
      <c r="B33" s="1" t="s">
        <v>118</v>
      </c>
    </row>
    <row r="34">
      <c r="A34" s="1" t="s">
        <v>16</v>
      </c>
      <c r="B34" s="1" t="s">
        <v>15</v>
      </c>
    </row>
    <row r="35">
      <c r="A35" s="1" t="s">
        <v>32</v>
      </c>
      <c r="B35" s="1" t="s">
        <v>31</v>
      </c>
    </row>
    <row r="36">
      <c r="A36" s="1" t="s">
        <v>66</v>
      </c>
      <c r="B36" s="1" t="s">
        <v>119</v>
      </c>
    </row>
    <row r="37">
      <c r="A37" s="1" t="s">
        <v>36</v>
      </c>
      <c r="B37" s="1" t="s">
        <v>35</v>
      </c>
    </row>
    <row r="38">
      <c r="A38" s="1" t="s">
        <v>62</v>
      </c>
      <c r="B38" s="1" t="s">
        <v>35</v>
      </c>
    </row>
    <row r="39">
      <c r="A39" s="1" t="s">
        <v>28</v>
      </c>
      <c r="B39" s="1" t="s">
        <v>27</v>
      </c>
    </row>
    <row r="40">
      <c r="A40" s="1" t="s">
        <v>38</v>
      </c>
      <c r="B40" s="1" t="s">
        <v>37</v>
      </c>
    </row>
    <row r="41">
      <c r="A41" s="1" t="s">
        <v>52</v>
      </c>
      <c r="B41" s="1" t="s">
        <v>51</v>
      </c>
    </row>
    <row r="42">
      <c r="A42" s="1" t="s">
        <v>56</v>
      </c>
      <c r="B42" s="1" t="s">
        <v>55</v>
      </c>
    </row>
    <row r="43">
      <c r="A43" s="1" t="s">
        <v>8</v>
      </c>
      <c r="B43" s="1" t="s">
        <v>7</v>
      </c>
    </row>
    <row r="44">
      <c r="A44" s="1" t="s">
        <v>79</v>
      </c>
      <c r="B44" s="1" t="s">
        <v>120</v>
      </c>
    </row>
    <row r="45">
      <c r="A45" s="1" t="s">
        <v>44</v>
      </c>
      <c r="B45" s="1" t="s">
        <v>43</v>
      </c>
    </row>
    <row r="46">
      <c r="A46" s="1" t="s">
        <v>47</v>
      </c>
      <c r="B46" s="1" t="s">
        <v>46</v>
      </c>
    </row>
    <row r="47">
      <c r="A47" s="1" t="s">
        <v>121</v>
      </c>
      <c r="B47" s="1" t="s">
        <v>17</v>
      </c>
    </row>
    <row r="48">
      <c r="A48" s="1" t="s">
        <v>105</v>
      </c>
      <c r="B48" s="1" t="s">
        <v>122</v>
      </c>
    </row>
  </sheetData>
  <autoFilter ref="$A$1:$B$48">
    <sortState ref="A1:B48">
      <sortCondition ref="B1:B48"/>
    </sortState>
  </autoFilter>
  <drawing r:id="rId1"/>
</worksheet>
</file>